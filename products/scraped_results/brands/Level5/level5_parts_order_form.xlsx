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nce\CUSTOMER SERVICE\Pricing\Order forms and price list\2026 NEW PRICING\"/>
    </mc:Choice>
  </mc:AlternateContent>
  <xr:revisionPtr revIDLastSave="0" documentId="13_ncr:1_{89A90AC0-4DC6-49A1-8F48-E7E98D1DC191}" xr6:coauthVersionLast="47" xr6:coauthVersionMax="47" xr10:uidLastSave="{00000000-0000-0000-0000-000000000000}"/>
  <bookViews>
    <workbookView xWindow="-120" yWindow="-120" windowWidth="29040" windowHeight="15720" firstSheet="1" activeTab="1" xr2:uid="{68289C54-0032-47F6-8B1D-4806A12CC0C8}"/>
  </bookViews>
  <sheets>
    <sheet name="Product Hierarchy" sheetId="14" state="hidden" r:id="rId1"/>
    <sheet name="Order Summary" sheetId="3" r:id="rId2"/>
    <sheet name="Order Input - Level5" sheetId="1" r:id="rId3"/>
    <sheet name="Order Input - DeWalt" sheetId="12" r:id="rId4"/>
    <sheet name="Order Input-Individual Part " sheetId="11" r:id="rId5"/>
    <sheet name="Order Input-Part Kits" sheetId="10" r:id="rId6"/>
    <sheet name="Order Input-Merch. And Mktg" sheetId="5" r:id="rId7"/>
  </sheets>
  <definedNames>
    <definedName name="_xlnm._FilterDatabase" localSheetId="3" hidden="1">'Order Input - DeWalt'!$B$10:$N$213</definedName>
    <definedName name="_xlnm._FilterDatabase" localSheetId="2" hidden="1">'Order Input - Level5'!$B$10:$N$273</definedName>
    <definedName name="_xlnm._FilterDatabase" localSheetId="6" hidden="1">'Order Input-Merch. And Mktg'!$B$8:$L$24</definedName>
    <definedName name="_xlnm._FilterDatabase" localSheetId="5" hidden="1">'Order Input-Part Kits'!$B$8:$L$61</definedName>
    <definedName name="_xlnm._FilterDatabase" localSheetId="0" hidden="1">'Product Hierarchy'!$A$1:$F$2330</definedName>
    <definedName name="_xlnm.Print_Titles" localSheetId="3">'Order Input - DeWalt'!$1:$7</definedName>
    <definedName name="_xlnm.Print_Titles" localSheetId="2">'Order Input - Level5'!$1:$10</definedName>
    <definedName name="_xlnm.Print_Titles" localSheetId="4">'Order Input-Individual Part '!$1:$8</definedName>
    <definedName name="_xlnm.Print_Titles" localSheetId="5">'Order Input-Part Kits'!$1:$8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0" l="1"/>
  <c r="C3" i="11"/>
  <c r="L3" i="11"/>
  <c r="C4" i="11"/>
  <c r="L4" i="11"/>
  <c r="A5" i="11"/>
  <c r="L5" i="11"/>
  <c r="A6" i="11"/>
  <c r="L6" i="11"/>
  <c r="N6" i="12"/>
  <c r="A6" i="12"/>
  <c r="N5" i="12"/>
  <c r="A5" i="12"/>
  <c r="N4" i="12"/>
  <c r="C4" i="12"/>
  <c r="N3" i="12"/>
  <c r="C3" i="12"/>
  <c r="N203" i="1" l="1"/>
  <c r="N141" i="12"/>
  <c r="N45" i="12"/>
  <c r="N85" i="12"/>
  <c r="N86" i="12"/>
  <c r="N87" i="12"/>
  <c r="N88" i="12"/>
  <c r="N209" i="1"/>
  <c r="N48" i="1"/>
  <c r="A6" i="10" l="1"/>
  <c r="A5" i="10"/>
  <c r="C4" i="10"/>
  <c r="C3" i="10"/>
  <c r="L48" i="10"/>
  <c r="L49" i="10"/>
  <c r="L52" i="10"/>
  <c r="L68" i="10"/>
  <c r="K74" i="10"/>
  <c r="D17" i="10"/>
  <c r="E17" i="10"/>
  <c r="F17" i="10"/>
  <c r="L17" i="10"/>
  <c r="D18" i="10"/>
  <c r="E18" i="10"/>
  <c r="F18" i="10"/>
  <c r="L18" i="10"/>
  <c r="D19" i="10"/>
  <c r="E19" i="10"/>
  <c r="F19" i="10"/>
  <c r="L19" i="10"/>
  <c r="D29" i="10"/>
  <c r="E29" i="10"/>
  <c r="F29" i="10"/>
  <c r="L29" i="10"/>
  <c r="D48" i="10"/>
  <c r="E48" i="10"/>
  <c r="F48" i="10"/>
  <c r="D49" i="10"/>
  <c r="E49" i="10"/>
  <c r="F49" i="10"/>
  <c r="D52" i="10"/>
  <c r="E52" i="10"/>
  <c r="F52" i="10"/>
  <c r="D60" i="10"/>
  <c r="E60" i="10"/>
  <c r="F60" i="10"/>
  <c r="L60" i="10"/>
  <c r="D66" i="10"/>
  <c r="E66" i="10"/>
  <c r="F66" i="10"/>
  <c r="D67" i="10"/>
  <c r="E67" i="10"/>
  <c r="F67" i="10"/>
  <c r="D68" i="10"/>
  <c r="E68" i="10"/>
  <c r="F68" i="10"/>
  <c r="D69" i="10"/>
  <c r="E69" i="10"/>
  <c r="F69" i="10"/>
  <c r="L69" i="10"/>
  <c r="L66" i="10" l="1"/>
  <c r="L67" i="10"/>
  <c r="D24" i="5" l="1"/>
  <c r="E24" i="5"/>
  <c r="F24" i="5"/>
  <c r="L24" i="5"/>
  <c r="D136" i="1"/>
  <c r="E136" i="1"/>
  <c r="F136" i="1"/>
  <c r="F120" i="1"/>
  <c r="D59" i="10"/>
  <c r="E59" i="10"/>
  <c r="F59" i="10"/>
  <c r="L59" i="10"/>
  <c r="M213" i="12"/>
  <c r="M273" i="1"/>
  <c r="D59" i="12"/>
  <c r="E59" i="12"/>
  <c r="F59" i="12"/>
  <c r="D134" i="12"/>
  <c r="E134" i="12"/>
  <c r="F134" i="12"/>
  <c r="N134" i="12"/>
  <c r="D135" i="12"/>
  <c r="E135" i="12"/>
  <c r="F135" i="12"/>
  <c r="N135" i="12"/>
  <c r="D60" i="12"/>
  <c r="E60" i="12"/>
  <c r="F60" i="12"/>
  <c r="N60" i="12"/>
  <c r="D61" i="12"/>
  <c r="E61" i="12"/>
  <c r="F61" i="12"/>
  <c r="N61" i="12"/>
  <c r="D62" i="12"/>
  <c r="E62" i="12"/>
  <c r="F62" i="12"/>
  <c r="N62" i="12"/>
  <c r="D51" i="12"/>
  <c r="E51" i="12"/>
  <c r="F51" i="12"/>
  <c r="N51" i="12"/>
  <c r="D52" i="12"/>
  <c r="E52" i="12"/>
  <c r="F52" i="12"/>
  <c r="N52" i="12"/>
  <c r="D53" i="12"/>
  <c r="E53" i="12"/>
  <c r="F53" i="12"/>
  <c r="N53" i="12"/>
  <c r="D54" i="1"/>
  <c r="E54" i="1"/>
  <c r="F54" i="1"/>
  <c r="D79" i="1"/>
  <c r="E79" i="1"/>
  <c r="F79" i="1"/>
  <c r="D53" i="1"/>
  <c r="E53" i="1"/>
  <c r="F53" i="1"/>
  <c r="D207" i="1"/>
  <c r="E207" i="1"/>
  <c r="F207" i="1"/>
  <c r="D200" i="1"/>
  <c r="E200" i="1"/>
  <c r="F200" i="1"/>
  <c r="D211" i="1"/>
  <c r="E211" i="1"/>
  <c r="F211" i="1"/>
  <c r="D212" i="1"/>
  <c r="E212" i="1"/>
  <c r="F212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99" i="1"/>
  <c r="E99" i="1"/>
  <c r="F99" i="1"/>
  <c r="D100" i="1"/>
  <c r="E100" i="1"/>
  <c r="F100" i="1"/>
  <c r="D213" i="1"/>
  <c r="E213" i="1"/>
  <c r="F213" i="1"/>
  <c r="D214" i="1"/>
  <c r="E214" i="1"/>
  <c r="F214" i="1"/>
  <c r="D215" i="1"/>
  <c r="E215" i="1"/>
  <c r="F215" i="1"/>
  <c r="D216" i="1"/>
  <c r="E216" i="1"/>
  <c r="F216" i="1"/>
  <c r="D217" i="1"/>
  <c r="E217" i="1"/>
  <c r="F217" i="1"/>
  <c r="D218" i="1"/>
  <c r="E218" i="1"/>
  <c r="F218" i="1"/>
  <c r="D193" i="1"/>
  <c r="E193" i="1"/>
  <c r="F193" i="1"/>
  <c r="D51" i="1"/>
  <c r="E51" i="1"/>
  <c r="F51" i="1"/>
  <c r="D52" i="1"/>
  <c r="E52" i="1"/>
  <c r="F52" i="1"/>
  <c r="D104" i="1"/>
  <c r="E104" i="1"/>
  <c r="F104" i="1"/>
  <c r="D117" i="1"/>
  <c r="E117" i="1"/>
  <c r="F117" i="1"/>
  <c r="D32" i="1"/>
  <c r="E32" i="1"/>
  <c r="F32" i="1"/>
  <c r="D34" i="1"/>
  <c r="E34" i="1"/>
  <c r="F34" i="1"/>
  <c r="D36" i="1"/>
  <c r="E36" i="1"/>
  <c r="F36" i="1"/>
  <c r="D42" i="1"/>
  <c r="E42" i="1"/>
  <c r="F42" i="1"/>
  <c r="D44" i="1"/>
  <c r="E44" i="1"/>
  <c r="F44" i="1"/>
  <c r="D46" i="1"/>
  <c r="E46" i="1"/>
  <c r="F46" i="1"/>
  <c r="D56" i="1"/>
  <c r="E56" i="1"/>
  <c r="F56" i="1"/>
  <c r="D58" i="1"/>
  <c r="E58" i="1"/>
  <c r="F58" i="1"/>
  <c r="D61" i="1"/>
  <c r="E61" i="1"/>
  <c r="F61" i="1"/>
  <c r="D63" i="1"/>
  <c r="E63" i="1"/>
  <c r="F63" i="1"/>
  <c r="D65" i="1"/>
  <c r="E65" i="1"/>
  <c r="F65" i="1"/>
  <c r="D67" i="1"/>
  <c r="E67" i="1"/>
  <c r="F67" i="1"/>
  <c r="D69" i="1"/>
  <c r="E69" i="1"/>
  <c r="F69" i="1"/>
  <c r="D71" i="1"/>
  <c r="E71" i="1"/>
  <c r="F71" i="1"/>
  <c r="D73" i="1"/>
  <c r="E73" i="1"/>
  <c r="F73" i="1"/>
  <c r="D75" i="1"/>
  <c r="E75" i="1"/>
  <c r="F75" i="1"/>
  <c r="D77" i="1"/>
  <c r="E77" i="1"/>
  <c r="F77" i="1"/>
  <c r="D219" i="1"/>
  <c r="E219" i="1"/>
  <c r="F219" i="1"/>
  <c r="D220" i="1"/>
  <c r="E220" i="1"/>
  <c r="F220" i="1"/>
  <c r="D10" i="10"/>
  <c r="E10" i="10"/>
  <c r="F10" i="10"/>
  <c r="D11" i="10"/>
  <c r="E11" i="10"/>
  <c r="D12" i="10"/>
  <c r="E12" i="10"/>
  <c r="F12" i="10"/>
  <c r="D13" i="10"/>
  <c r="E13" i="10"/>
  <c r="F13" i="10"/>
  <c r="D14" i="10"/>
  <c r="E14" i="10"/>
  <c r="F14" i="10"/>
  <c r="D15" i="10"/>
  <c r="E15" i="10"/>
  <c r="F15" i="10"/>
  <c r="D16" i="10"/>
  <c r="E16" i="10"/>
  <c r="F16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D42" i="10"/>
  <c r="E42" i="10"/>
  <c r="F42" i="10"/>
  <c r="D43" i="10"/>
  <c r="E43" i="10"/>
  <c r="F43" i="10"/>
  <c r="D44" i="10"/>
  <c r="E44" i="10"/>
  <c r="F44" i="10"/>
  <c r="D45" i="10"/>
  <c r="E45" i="10"/>
  <c r="F45" i="10"/>
  <c r="D46" i="10"/>
  <c r="E46" i="10"/>
  <c r="F46" i="10"/>
  <c r="D47" i="10"/>
  <c r="E47" i="10"/>
  <c r="F47" i="10"/>
  <c r="D50" i="10"/>
  <c r="E50" i="10"/>
  <c r="F50" i="10"/>
  <c r="D51" i="10"/>
  <c r="E51" i="10"/>
  <c r="F51" i="10"/>
  <c r="D53" i="10"/>
  <c r="E53" i="10"/>
  <c r="F53" i="10"/>
  <c r="D54" i="10"/>
  <c r="E54" i="10"/>
  <c r="F54" i="10"/>
  <c r="D55" i="10"/>
  <c r="E55" i="10"/>
  <c r="F55" i="10"/>
  <c r="D56" i="10"/>
  <c r="E56" i="10"/>
  <c r="F56" i="10"/>
  <c r="D57" i="10"/>
  <c r="E57" i="10"/>
  <c r="F57" i="10"/>
  <c r="D58" i="10"/>
  <c r="E58" i="10"/>
  <c r="F58" i="10"/>
  <c r="D61" i="10"/>
  <c r="E61" i="10"/>
  <c r="F61" i="10"/>
  <c r="D62" i="10"/>
  <c r="E62" i="10"/>
  <c r="F62" i="10"/>
  <c r="D63" i="10"/>
  <c r="E63" i="10"/>
  <c r="F63" i="10"/>
  <c r="D64" i="10"/>
  <c r="E64" i="10"/>
  <c r="F64" i="10"/>
  <c r="D65" i="10"/>
  <c r="E65" i="10"/>
  <c r="F65" i="10"/>
  <c r="D70" i="10"/>
  <c r="E70" i="10"/>
  <c r="F70" i="10"/>
  <c r="D71" i="10"/>
  <c r="E71" i="10"/>
  <c r="F71" i="10"/>
  <c r="D72" i="10"/>
  <c r="E72" i="10"/>
  <c r="F72" i="10"/>
  <c r="D73" i="10"/>
  <c r="E73" i="10"/>
  <c r="F73" i="10"/>
  <c r="F9" i="10"/>
  <c r="E9" i="10"/>
  <c r="D9" i="10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9" i="5"/>
  <c r="E9" i="5"/>
  <c r="F9" i="5"/>
  <c r="F10" i="5"/>
  <c r="E10" i="5"/>
  <c r="D10" i="5"/>
  <c r="D191" i="12"/>
  <c r="E191" i="12"/>
  <c r="F191" i="12"/>
  <c r="D192" i="12"/>
  <c r="E192" i="12"/>
  <c r="F192" i="12"/>
  <c r="D193" i="12"/>
  <c r="E193" i="12"/>
  <c r="F193" i="12"/>
  <c r="D194" i="12"/>
  <c r="E194" i="12"/>
  <c r="F194" i="12"/>
  <c r="D195" i="12"/>
  <c r="E195" i="12"/>
  <c r="F195" i="12"/>
  <c r="D196" i="12"/>
  <c r="E196" i="12"/>
  <c r="F196" i="12"/>
  <c r="D197" i="12"/>
  <c r="E197" i="12"/>
  <c r="F197" i="12"/>
  <c r="D198" i="12"/>
  <c r="E198" i="12"/>
  <c r="F198" i="12"/>
  <c r="D199" i="12"/>
  <c r="E199" i="12"/>
  <c r="F199" i="12"/>
  <c r="D200" i="12"/>
  <c r="E200" i="12"/>
  <c r="F200" i="12"/>
  <c r="D201" i="12"/>
  <c r="E201" i="12"/>
  <c r="F201" i="12"/>
  <c r="D202" i="12"/>
  <c r="E202" i="12"/>
  <c r="F202" i="12"/>
  <c r="D203" i="12"/>
  <c r="E203" i="12"/>
  <c r="F203" i="12"/>
  <c r="D204" i="12"/>
  <c r="E204" i="12"/>
  <c r="F204" i="12"/>
  <c r="D205" i="12"/>
  <c r="E205" i="12"/>
  <c r="F205" i="12"/>
  <c r="D206" i="12"/>
  <c r="E206" i="12"/>
  <c r="F206" i="12"/>
  <c r="D207" i="12"/>
  <c r="E207" i="12"/>
  <c r="F207" i="12"/>
  <c r="D208" i="12"/>
  <c r="E208" i="12"/>
  <c r="F208" i="12"/>
  <c r="D209" i="12"/>
  <c r="E209" i="12"/>
  <c r="F209" i="12"/>
  <c r="D210" i="12"/>
  <c r="E210" i="12"/>
  <c r="F210" i="12"/>
  <c r="D11" i="12"/>
  <c r="E11" i="12"/>
  <c r="F11" i="12"/>
  <c r="D12" i="12"/>
  <c r="E12" i="12"/>
  <c r="F12" i="12"/>
  <c r="D13" i="12"/>
  <c r="E13" i="12"/>
  <c r="F13" i="12"/>
  <c r="D14" i="12"/>
  <c r="E14" i="12"/>
  <c r="F14" i="12"/>
  <c r="D15" i="12"/>
  <c r="E15" i="12"/>
  <c r="F15" i="12"/>
  <c r="D16" i="12"/>
  <c r="E16" i="12"/>
  <c r="F16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1" i="12"/>
  <c r="E21" i="12"/>
  <c r="F21" i="12"/>
  <c r="D211" i="12"/>
  <c r="E211" i="12"/>
  <c r="F211" i="12"/>
  <c r="D212" i="12"/>
  <c r="E212" i="12"/>
  <c r="F212" i="12"/>
  <c r="D22" i="12"/>
  <c r="E22" i="12"/>
  <c r="F22" i="12"/>
  <c r="D23" i="12"/>
  <c r="E23" i="12"/>
  <c r="F23" i="12"/>
  <c r="D24" i="12"/>
  <c r="E24" i="12"/>
  <c r="F24" i="12"/>
  <c r="D25" i="12"/>
  <c r="E25" i="12"/>
  <c r="F25" i="12"/>
  <c r="D26" i="12"/>
  <c r="E26" i="12"/>
  <c r="F26" i="12"/>
  <c r="D27" i="12"/>
  <c r="E27" i="12"/>
  <c r="F27" i="12"/>
  <c r="D28" i="12"/>
  <c r="E28" i="12"/>
  <c r="F28" i="12"/>
  <c r="D29" i="12"/>
  <c r="E29" i="12"/>
  <c r="F29" i="12"/>
  <c r="D30" i="12"/>
  <c r="E30" i="12"/>
  <c r="F30" i="12"/>
  <c r="D31" i="12"/>
  <c r="E31" i="12"/>
  <c r="F31" i="12"/>
  <c r="D32" i="12"/>
  <c r="E32" i="12"/>
  <c r="F32" i="12"/>
  <c r="D33" i="12"/>
  <c r="E33" i="12"/>
  <c r="F33" i="12"/>
  <c r="D34" i="12"/>
  <c r="E34" i="12"/>
  <c r="F34" i="12"/>
  <c r="D35" i="12"/>
  <c r="E35" i="12"/>
  <c r="F35" i="12"/>
  <c r="D36" i="12"/>
  <c r="E36" i="12"/>
  <c r="F36" i="12"/>
  <c r="D37" i="12"/>
  <c r="E37" i="12"/>
  <c r="F37" i="12"/>
  <c r="D38" i="12"/>
  <c r="E38" i="12"/>
  <c r="F38" i="12"/>
  <c r="D39" i="12"/>
  <c r="E39" i="12"/>
  <c r="F39" i="12"/>
  <c r="D40" i="12"/>
  <c r="E40" i="12"/>
  <c r="F40" i="12"/>
  <c r="D41" i="12"/>
  <c r="E41" i="12"/>
  <c r="F41" i="12"/>
  <c r="D42" i="12"/>
  <c r="E42" i="12"/>
  <c r="F42" i="12"/>
  <c r="D43" i="12"/>
  <c r="E43" i="12"/>
  <c r="F43" i="12"/>
  <c r="D44" i="12"/>
  <c r="E44" i="12"/>
  <c r="F44" i="12"/>
  <c r="D46" i="12"/>
  <c r="E46" i="12"/>
  <c r="F46" i="12"/>
  <c r="D47" i="12"/>
  <c r="E47" i="12"/>
  <c r="F47" i="12"/>
  <c r="D48" i="12"/>
  <c r="E48" i="12"/>
  <c r="F48" i="12"/>
  <c r="D49" i="12"/>
  <c r="E49" i="12"/>
  <c r="F49" i="12"/>
  <c r="D50" i="12"/>
  <c r="E50" i="12"/>
  <c r="F50" i="12"/>
  <c r="D54" i="12"/>
  <c r="E54" i="12"/>
  <c r="F54" i="12"/>
  <c r="D55" i="12"/>
  <c r="E55" i="12"/>
  <c r="F55" i="12"/>
  <c r="D56" i="12"/>
  <c r="E56" i="12"/>
  <c r="F56" i="12"/>
  <c r="D57" i="12"/>
  <c r="E57" i="12"/>
  <c r="F57" i="12"/>
  <c r="D58" i="12"/>
  <c r="E58" i="12"/>
  <c r="F58" i="12"/>
  <c r="D63" i="12"/>
  <c r="E63" i="12"/>
  <c r="F63" i="12"/>
  <c r="D64" i="12"/>
  <c r="E64" i="12"/>
  <c r="F64" i="12"/>
  <c r="D65" i="12"/>
  <c r="E65" i="12"/>
  <c r="F65" i="12"/>
  <c r="D66" i="12"/>
  <c r="E66" i="12"/>
  <c r="F66" i="12"/>
  <c r="D67" i="12"/>
  <c r="E67" i="12"/>
  <c r="F67" i="12"/>
  <c r="D68" i="12"/>
  <c r="E68" i="12"/>
  <c r="F68" i="12"/>
  <c r="D69" i="12"/>
  <c r="E69" i="12"/>
  <c r="F69" i="12"/>
  <c r="D70" i="12"/>
  <c r="E70" i="12"/>
  <c r="F70" i="12"/>
  <c r="D71" i="12"/>
  <c r="E71" i="12"/>
  <c r="F71" i="12"/>
  <c r="D72" i="12"/>
  <c r="E72" i="12"/>
  <c r="F72" i="12"/>
  <c r="D73" i="12"/>
  <c r="E73" i="12"/>
  <c r="F73" i="12"/>
  <c r="D74" i="12"/>
  <c r="E74" i="12"/>
  <c r="F74" i="12"/>
  <c r="D75" i="12"/>
  <c r="E75" i="12"/>
  <c r="F75" i="12"/>
  <c r="D76" i="12"/>
  <c r="E76" i="12"/>
  <c r="F76" i="12"/>
  <c r="D77" i="12"/>
  <c r="E77" i="12"/>
  <c r="F77" i="12"/>
  <c r="D78" i="12"/>
  <c r="E78" i="12"/>
  <c r="F78" i="12"/>
  <c r="D79" i="12"/>
  <c r="E79" i="12"/>
  <c r="F79" i="12"/>
  <c r="D80" i="12"/>
  <c r="E80" i="12"/>
  <c r="F80" i="12"/>
  <c r="D81" i="12"/>
  <c r="E81" i="12"/>
  <c r="F81" i="12"/>
  <c r="D82" i="12"/>
  <c r="E82" i="12"/>
  <c r="F82" i="12"/>
  <c r="D83" i="12"/>
  <c r="E83" i="12"/>
  <c r="F83" i="12"/>
  <c r="D84" i="12"/>
  <c r="E84" i="12"/>
  <c r="F84" i="12"/>
  <c r="D89" i="12"/>
  <c r="E89" i="12"/>
  <c r="F89" i="12"/>
  <c r="D90" i="12"/>
  <c r="E90" i="12"/>
  <c r="F90" i="12"/>
  <c r="D91" i="12"/>
  <c r="E91" i="12"/>
  <c r="F91" i="12"/>
  <c r="D92" i="12"/>
  <c r="E92" i="12"/>
  <c r="F92" i="12"/>
  <c r="D93" i="12"/>
  <c r="E93" i="12"/>
  <c r="F93" i="12"/>
  <c r="D94" i="12"/>
  <c r="E94" i="12"/>
  <c r="F94" i="12"/>
  <c r="D95" i="12"/>
  <c r="E95" i="12"/>
  <c r="F95" i="12"/>
  <c r="D136" i="12"/>
  <c r="E136" i="12"/>
  <c r="F136" i="12"/>
  <c r="D137" i="12"/>
  <c r="E137" i="12"/>
  <c r="F137" i="12"/>
  <c r="D138" i="12"/>
  <c r="E138" i="12"/>
  <c r="F138" i="12"/>
  <c r="D139" i="12"/>
  <c r="E139" i="12"/>
  <c r="F139" i="12"/>
  <c r="D140" i="12"/>
  <c r="E140" i="12"/>
  <c r="F140" i="12"/>
  <c r="D142" i="12"/>
  <c r="E142" i="12"/>
  <c r="F142" i="12"/>
  <c r="D143" i="12"/>
  <c r="E143" i="12"/>
  <c r="F143" i="12"/>
  <c r="D144" i="12"/>
  <c r="E144" i="12"/>
  <c r="F144" i="12"/>
  <c r="D145" i="12"/>
  <c r="E145" i="12"/>
  <c r="F145" i="12"/>
  <c r="D146" i="12"/>
  <c r="E146" i="12"/>
  <c r="F146" i="12"/>
  <c r="D148" i="12"/>
  <c r="E148" i="12"/>
  <c r="F148" i="12"/>
  <c r="D149" i="12"/>
  <c r="E149" i="12"/>
  <c r="F149" i="12"/>
  <c r="D150" i="12"/>
  <c r="E150" i="12"/>
  <c r="F150" i="12"/>
  <c r="D151" i="12"/>
  <c r="E151" i="12"/>
  <c r="F151" i="12"/>
  <c r="D152" i="12"/>
  <c r="E152" i="12"/>
  <c r="F152" i="12"/>
  <c r="D153" i="12"/>
  <c r="E153" i="12"/>
  <c r="F153" i="12"/>
  <c r="D154" i="12"/>
  <c r="E154" i="12"/>
  <c r="F154" i="12"/>
  <c r="D155" i="12"/>
  <c r="E155" i="12"/>
  <c r="F155" i="12"/>
  <c r="D156" i="12"/>
  <c r="E156" i="12"/>
  <c r="F156" i="12"/>
  <c r="D157" i="12"/>
  <c r="E157" i="12"/>
  <c r="F157" i="12"/>
  <c r="D158" i="12"/>
  <c r="E158" i="12"/>
  <c r="F158" i="12"/>
  <c r="D159" i="12"/>
  <c r="E159" i="12"/>
  <c r="F159" i="12"/>
  <c r="D160" i="12"/>
  <c r="E160" i="12"/>
  <c r="F160" i="12"/>
  <c r="D161" i="12"/>
  <c r="E161" i="12"/>
  <c r="F161" i="12"/>
  <c r="D162" i="12"/>
  <c r="E162" i="12"/>
  <c r="F162" i="12"/>
  <c r="D163" i="12"/>
  <c r="E163" i="12"/>
  <c r="F163" i="12"/>
  <c r="D164" i="12"/>
  <c r="E164" i="12"/>
  <c r="F164" i="12"/>
  <c r="D165" i="12"/>
  <c r="E165" i="12"/>
  <c r="F165" i="12"/>
  <c r="D166" i="12"/>
  <c r="E166" i="12"/>
  <c r="F166" i="12"/>
  <c r="D167" i="12"/>
  <c r="E167" i="12"/>
  <c r="F167" i="12"/>
  <c r="D168" i="12"/>
  <c r="E168" i="12"/>
  <c r="F168" i="12"/>
  <c r="D169" i="12"/>
  <c r="E169" i="12"/>
  <c r="F169" i="12"/>
  <c r="D170" i="12"/>
  <c r="E170" i="12"/>
  <c r="F170" i="12"/>
  <c r="D171" i="12"/>
  <c r="E171" i="12"/>
  <c r="F171" i="12"/>
  <c r="D172" i="12"/>
  <c r="E172" i="12"/>
  <c r="F172" i="12"/>
  <c r="D173" i="12"/>
  <c r="E173" i="12"/>
  <c r="F173" i="12"/>
  <c r="D174" i="12"/>
  <c r="E174" i="12"/>
  <c r="F174" i="12"/>
  <c r="D175" i="12"/>
  <c r="E175" i="12"/>
  <c r="F175" i="12"/>
  <c r="D176" i="12"/>
  <c r="E176" i="12"/>
  <c r="F176" i="12"/>
  <c r="D100" i="12"/>
  <c r="E100" i="12"/>
  <c r="F100" i="12"/>
  <c r="D101" i="12"/>
  <c r="E101" i="12"/>
  <c r="F101" i="12"/>
  <c r="D102" i="12"/>
  <c r="E102" i="12"/>
  <c r="F102" i="12"/>
  <c r="D103" i="12"/>
  <c r="E103" i="12"/>
  <c r="F103" i="12"/>
  <c r="D104" i="12"/>
  <c r="E104" i="12"/>
  <c r="F104" i="12"/>
  <c r="D105" i="12"/>
  <c r="E105" i="12"/>
  <c r="F105" i="12"/>
  <c r="D106" i="12"/>
  <c r="E106" i="12"/>
  <c r="F106" i="12"/>
  <c r="D107" i="12"/>
  <c r="E107" i="12"/>
  <c r="F107" i="12"/>
  <c r="D108" i="12"/>
  <c r="E108" i="12"/>
  <c r="F108" i="12"/>
  <c r="D109" i="12"/>
  <c r="E109" i="12"/>
  <c r="F109" i="12"/>
  <c r="D110" i="12"/>
  <c r="E110" i="12"/>
  <c r="F110" i="12"/>
  <c r="D111" i="12"/>
  <c r="E111" i="12"/>
  <c r="F111" i="12"/>
  <c r="D112" i="12"/>
  <c r="E112" i="12"/>
  <c r="F112" i="12"/>
  <c r="D113" i="12"/>
  <c r="E113" i="12"/>
  <c r="F113" i="12"/>
  <c r="D114" i="12"/>
  <c r="E114" i="12"/>
  <c r="F114" i="12"/>
  <c r="D115" i="12"/>
  <c r="E115" i="12"/>
  <c r="F115" i="12"/>
  <c r="D116" i="12"/>
  <c r="E116" i="12"/>
  <c r="F116" i="12"/>
  <c r="D117" i="12"/>
  <c r="E117" i="12"/>
  <c r="F117" i="12"/>
  <c r="D118" i="12"/>
  <c r="E118" i="12"/>
  <c r="F118" i="12"/>
  <c r="D119" i="12"/>
  <c r="E119" i="12"/>
  <c r="F119" i="12"/>
  <c r="D120" i="12"/>
  <c r="E120" i="12"/>
  <c r="F120" i="12"/>
  <c r="D121" i="12"/>
  <c r="E121" i="12"/>
  <c r="F121" i="12"/>
  <c r="D122" i="12"/>
  <c r="E122" i="12"/>
  <c r="F122" i="12"/>
  <c r="D123" i="12"/>
  <c r="E123" i="12"/>
  <c r="F123" i="12"/>
  <c r="D124" i="12"/>
  <c r="E124" i="12"/>
  <c r="F124" i="12"/>
  <c r="D125" i="12"/>
  <c r="E125" i="12"/>
  <c r="F125" i="12"/>
  <c r="D126" i="12"/>
  <c r="E126" i="12"/>
  <c r="F126" i="12"/>
  <c r="D127" i="12"/>
  <c r="E127" i="12"/>
  <c r="F127" i="12"/>
  <c r="D128" i="12"/>
  <c r="E128" i="12"/>
  <c r="F128" i="12"/>
  <c r="D129" i="12"/>
  <c r="E129" i="12"/>
  <c r="F129" i="12"/>
  <c r="D130" i="12"/>
  <c r="E130" i="12"/>
  <c r="F130" i="12"/>
  <c r="D131" i="12"/>
  <c r="E131" i="12"/>
  <c r="F131" i="12"/>
  <c r="D132" i="12"/>
  <c r="E132" i="12"/>
  <c r="F132" i="12"/>
  <c r="D133" i="12"/>
  <c r="E133" i="12"/>
  <c r="F133" i="12"/>
  <c r="D96" i="12"/>
  <c r="E96" i="12"/>
  <c r="F96" i="12"/>
  <c r="D98" i="12"/>
  <c r="E98" i="12"/>
  <c r="F98" i="12"/>
  <c r="D99" i="12"/>
  <c r="E99" i="12"/>
  <c r="F99" i="12"/>
  <c r="D97" i="12"/>
  <c r="E97" i="12"/>
  <c r="F97" i="12"/>
  <c r="D147" i="12"/>
  <c r="E147" i="12"/>
  <c r="F147" i="12"/>
  <c r="D177" i="12"/>
  <c r="E177" i="12"/>
  <c r="F177" i="12"/>
  <c r="D178" i="12"/>
  <c r="E178" i="12"/>
  <c r="F178" i="12"/>
  <c r="D179" i="12"/>
  <c r="E179" i="12"/>
  <c r="F179" i="12"/>
  <c r="D180" i="12"/>
  <c r="E180" i="12"/>
  <c r="F180" i="12"/>
  <c r="D181" i="12"/>
  <c r="E181" i="12"/>
  <c r="F181" i="12"/>
  <c r="D183" i="12"/>
  <c r="E183" i="12"/>
  <c r="F183" i="12"/>
  <c r="D184" i="12"/>
  <c r="E184" i="12"/>
  <c r="F184" i="12"/>
  <c r="D185" i="12"/>
  <c r="E185" i="12"/>
  <c r="F185" i="12"/>
  <c r="D187" i="12"/>
  <c r="E187" i="12"/>
  <c r="F187" i="12"/>
  <c r="D186" i="12"/>
  <c r="E186" i="12"/>
  <c r="F186" i="12"/>
  <c r="D182" i="12"/>
  <c r="E182" i="12"/>
  <c r="F182" i="12"/>
  <c r="D188" i="12"/>
  <c r="E188" i="12"/>
  <c r="F188" i="12"/>
  <c r="D189" i="12"/>
  <c r="E189" i="12"/>
  <c r="F189" i="12"/>
  <c r="F190" i="12"/>
  <c r="E190" i="12"/>
  <c r="D190" i="12"/>
  <c r="D202" i="1"/>
  <c r="D98" i="1"/>
  <c r="E98" i="1"/>
  <c r="F98" i="1"/>
  <c r="D101" i="1"/>
  <c r="E101" i="1"/>
  <c r="F101" i="1"/>
  <c r="D102" i="1"/>
  <c r="E102" i="1"/>
  <c r="F102" i="1"/>
  <c r="D103" i="1"/>
  <c r="E103" i="1"/>
  <c r="F103" i="1"/>
  <c r="D105" i="1"/>
  <c r="E105" i="1"/>
  <c r="F105" i="1"/>
  <c r="D107" i="1"/>
  <c r="E107" i="1"/>
  <c r="F107" i="1"/>
  <c r="D109" i="1"/>
  <c r="E109" i="1"/>
  <c r="F109" i="1"/>
  <c r="D111" i="1"/>
  <c r="E111" i="1"/>
  <c r="F111" i="1"/>
  <c r="D113" i="1"/>
  <c r="E113" i="1"/>
  <c r="F113" i="1"/>
  <c r="D106" i="1"/>
  <c r="E106" i="1"/>
  <c r="F106" i="1"/>
  <c r="D108" i="1"/>
  <c r="E108" i="1"/>
  <c r="F108" i="1"/>
  <c r="D110" i="1"/>
  <c r="E110" i="1"/>
  <c r="F110" i="1"/>
  <c r="D112" i="1"/>
  <c r="E112" i="1"/>
  <c r="F112" i="1"/>
  <c r="D114" i="1"/>
  <c r="E114" i="1"/>
  <c r="F114" i="1"/>
  <c r="D115" i="1"/>
  <c r="E115" i="1"/>
  <c r="F115" i="1"/>
  <c r="D116" i="1"/>
  <c r="E116" i="1"/>
  <c r="F116" i="1"/>
  <c r="D118" i="1"/>
  <c r="E118" i="1"/>
  <c r="F118" i="1"/>
  <c r="D119" i="1"/>
  <c r="E119" i="1"/>
  <c r="F119" i="1"/>
  <c r="D120" i="1"/>
  <c r="E120" i="1"/>
  <c r="D121" i="1"/>
  <c r="E121" i="1"/>
  <c r="F121" i="1"/>
  <c r="D122" i="1"/>
  <c r="E122" i="1"/>
  <c r="F122" i="1"/>
  <c r="D123" i="1"/>
  <c r="E123" i="1"/>
  <c r="F123" i="1"/>
  <c r="D125" i="1"/>
  <c r="E125" i="1"/>
  <c r="F125" i="1"/>
  <c r="D127" i="1"/>
  <c r="E127" i="1"/>
  <c r="F127" i="1"/>
  <c r="D129" i="1"/>
  <c r="E129" i="1"/>
  <c r="F129" i="1"/>
  <c r="D131" i="1"/>
  <c r="E131" i="1"/>
  <c r="F131" i="1"/>
  <c r="D133" i="1"/>
  <c r="E133" i="1"/>
  <c r="F133" i="1"/>
  <c r="D134" i="1"/>
  <c r="E134" i="1"/>
  <c r="F134" i="1"/>
  <c r="D124" i="1"/>
  <c r="E124" i="1"/>
  <c r="F124" i="1"/>
  <c r="D126" i="1"/>
  <c r="E126" i="1"/>
  <c r="F126" i="1"/>
  <c r="D128" i="1"/>
  <c r="E128" i="1"/>
  <c r="F128" i="1"/>
  <c r="D130" i="1"/>
  <c r="E130" i="1"/>
  <c r="F130" i="1"/>
  <c r="D132" i="1"/>
  <c r="E132" i="1"/>
  <c r="F132" i="1"/>
  <c r="D135" i="1"/>
  <c r="E135" i="1"/>
  <c r="F135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E141" i="1"/>
  <c r="F141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D182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D198" i="1"/>
  <c r="E198" i="1"/>
  <c r="F198" i="1"/>
  <c r="D199" i="1"/>
  <c r="E199" i="1"/>
  <c r="F199" i="1"/>
  <c r="D201" i="1"/>
  <c r="E201" i="1"/>
  <c r="F201" i="1"/>
  <c r="D204" i="1"/>
  <c r="E204" i="1"/>
  <c r="F204" i="1"/>
  <c r="D205" i="1"/>
  <c r="E205" i="1"/>
  <c r="F205" i="1"/>
  <c r="D206" i="1"/>
  <c r="E206" i="1"/>
  <c r="F206" i="1"/>
  <c r="D208" i="1"/>
  <c r="E208" i="1"/>
  <c r="F208" i="1"/>
  <c r="D272" i="1"/>
  <c r="E272" i="1"/>
  <c r="F272" i="1"/>
  <c r="D210" i="1"/>
  <c r="E210" i="1"/>
  <c r="F210" i="1"/>
  <c r="D221" i="1"/>
  <c r="E221" i="1"/>
  <c r="F221" i="1"/>
  <c r="D222" i="1"/>
  <c r="E222" i="1"/>
  <c r="F222" i="1"/>
  <c r="D223" i="1"/>
  <c r="E223" i="1"/>
  <c r="F223" i="1"/>
  <c r="D224" i="1"/>
  <c r="E224" i="1"/>
  <c r="F224" i="1"/>
  <c r="D225" i="1"/>
  <c r="E225" i="1"/>
  <c r="F225" i="1"/>
  <c r="D226" i="1"/>
  <c r="E226" i="1"/>
  <c r="F226" i="1"/>
  <c r="D227" i="1"/>
  <c r="E227" i="1"/>
  <c r="F227" i="1"/>
  <c r="D228" i="1"/>
  <c r="E228" i="1"/>
  <c r="F228" i="1"/>
  <c r="D229" i="1"/>
  <c r="E229" i="1"/>
  <c r="F229" i="1"/>
  <c r="D230" i="1"/>
  <c r="E230" i="1"/>
  <c r="F230" i="1"/>
  <c r="D231" i="1"/>
  <c r="E231" i="1"/>
  <c r="F231" i="1"/>
  <c r="D232" i="1"/>
  <c r="E232" i="1"/>
  <c r="F232" i="1"/>
  <c r="D233" i="1"/>
  <c r="E233" i="1"/>
  <c r="F233" i="1"/>
  <c r="D234" i="1"/>
  <c r="E234" i="1"/>
  <c r="F234" i="1"/>
  <c r="D235" i="1"/>
  <c r="E235" i="1"/>
  <c r="F235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42" i="1"/>
  <c r="E242" i="1"/>
  <c r="F242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52" i="1"/>
  <c r="E252" i="1"/>
  <c r="F252" i="1"/>
  <c r="D253" i="1"/>
  <c r="E253" i="1"/>
  <c r="F253" i="1"/>
  <c r="D254" i="1"/>
  <c r="E254" i="1"/>
  <c r="F254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D259" i="1"/>
  <c r="E259" i="1"/>
  <c r="F259" i="1"/>
  <c r="D31" i="1"/>
  <c r="E31" i="1"/>
  <c r="F31" i="1"/>
  <c r="D33" i="1"/>
  <c r="E33" i="1"/>
  <c r="F33" i="1"/>
  <c r="D35" i="1"/>
  <c r="E35" i="1"/>
  <c r="F35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3" i="1"/>
  <c r="E43" i="1"/>
  <c r="F43" i="1"/>
  <c r="D45" i="1"/>
  <c r="E45" i="1"/>
  <c r="F45" i="1"/>
  <c r="D47" i="1"/>
  <c r="E47" i="1"/>
  <c r="F47" i="1"/>
  <c r="D49" i="1"/>
  <c r="E49" i="1"/>
  <c r="F49" i="1"/>
  <c r="D50" i="1"/>
  <c r="E50" i="1"/>
  <c r="F50" i="1"/>
  <c r="D55" i="1"/>
  <c r="E55" i="1"/>
  <c r="F55" i="1"/>
  <c r="D57" i="1"/>
  <c r="E57" i="1"/>
  <c r="F57" i="1"/>
  <c r="D59" i="1"/>
  <c r="E59" i="1"/>
  <c r="F59" i="1"/>
  <c r="D60" i="1"/>
  <c r="E60" i="1"/>
  <c r="F60" i="1"/>
  <c r="D62" i="1"/>
  <c r="E62" i="1"/>
  <c r="F62" i="1"/>
  <c r="D64" i="1"/>
  <c r="E64" i="1"/>
  <c r="F64" i="1"/>
  <c r="D66" i="1"/>
  <c r="E66" i="1"/>
  <c r="F66" i="1"/>
  <c r="D68" i="1"/>
  <c r="E68" i="1"/>
  <c r="F68" i="1"/>
  <c r="D70" i="1"/>
  <c r="E70" i="1"/>
  <c r="F70" i="1"/>
  <c r="D72" i="1"/>
  <c r="E72" i="1"/>
  <c r="F72" i="1"/>
  <c r="D74" i="1"/>
  <c r="E74" i="1"/>
  <c r="F74" i="1"/>
  <c r="D76" i="1"/>
  <c r="E76" i="1"/>
  <c r="F76" i="1"/>
  <c r="D78" i="1"/>
  <c r="E78" i="1"/>
  <c r="F78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E202" i="1"/>
  <c r="F202" i="1"/>
  <c r="D21" i="1"/>
  <c r="E21" i="1"/>
  <c r="F21" i="1"/>
  <c r="D22" i="1"/>
  <c r="E22" i="1"/>
  <c r="F22" i="1"/>
  <c r="D30" i="1"/>
  <c r="E30" i="1"/>
  <c r="F30" i="1"/>
  <c r="D26" i="1"/>
  <c r="E26" i="1"/>
  <c r="F26" i="1"/>
  <c r="D29" i="1"/>
  <c r="E29" i="1"/>
  <c r="F29" i="1"/>
  <c r="D27" i="1"/>
  <c r="E27" i="1"/>
  <c r="F27" i="1"/>
  <c r="D25" i="1"/>
  <c r="E25" i="1"/>
  <c r="F25" i="1"/>
  <c r="D24" i="1"/>
  <c r="E24" i="1"/>
  <c r="F24" i="1"/>
  <c r="D23" i="1"/>
  <c r="E23" i="1"/>
  <c r="F23" i="1"/>
  <c r="D28" i="1"/>
  <c r="E28" i="1"/>
  <c r="F28" i="1"/>
  <c r="D260" i="1"/>
  <c r="E260" i="1"/>
  <c r="F260" i="1"/>
  <c r="D248" i="1"/>
  <c r="E248" i="1"/>
  <c r="F248" i="1"/>
  <c r="D247" i="1"/>
  <c r="E247" i="1"/>
  <c r="F247" i="1"/>
  <c r="D251" i="1"/>
  <c r="E251" i="1"/>
  <c r="F251" i="1"/>
  <c r="D250" i="1"/>
  <c r="E250" i="1"/>
  <c r="F250" i="1"/>
  <c r="D249" i="1"/>
  <c r="E249" i="1"/>
  <c r="F249" i="1"/>
  <c r="D261" i="1"/>
  <c r="E261" i="1"/>
  <c r="F261" i="1"/>
  <c r="D271" i="1"/>
  <c r="E271" i="1"/>
  <c r="F271" i="1"/>
  <c r="D268" i="1"/>
  <c r="E268" i="1"/>
  <c r="F268" i="1"/>
  <c r="D269" i="1"/>
  <c r="E269" i="1"/>
  <c r="F269" i="1"/>
  <c r="D270" i="1"/>
  <c r="E270" i="1"/>
  <c r="F270" i="1"/>
  <c r="D262" i="1"/>
  <c r="E262" i="1"/>
  <c r="F262" i="1"/>
  <c r="D263" i="1"/>
  <c r="E263" i="1"/>
  <c r="F263" i="1"/>
  <c r="D264" i="1"/>
  <c r="E264" i="1"/>
  <c r="F264" i="1"/>
  <c r="D265" i="1"/>
  <c r="E265" i="1"/>
  <c r="F265" i="1"/>
  <c r="D266" i="1"/>
  <c r="E266" i="1"/>
  <c r="F266" i="1"/>
  <c r="D267" i="1"/>
  <c r="E267" i="1"/>
  <c r="F267" i="1"/>
  <c r="F97" i="1"/>
  <c r="E97" i="1"/>
  <c r="D97" i="1"/>
  <c r="E16" i="3" l="1"/>
  <c r="N136" i="1"/>
  <c r="N59" i="12"/>
  <c r="E18" i="3"/>
  <c r="E17" i="3"/>
  <c r="E15" i="3"/>
  <c r="N184" i="12" l="1"/>
  <c r="N14" i="1" l="1"/>
  <c r="N193" i="1"/>
  <c r="N215" i="1"/>
  <c r="N211" i="1"/>
  <c r="N104" i="1"/>
  <c r="N100" i="1"/>
  <c r="N117" i="1"/>
  <c r="N12" i="1"/>
  <c r="N212" i="1"/>
  <c r="N207" i="1"/>
  <c r="N13" i="1"/>
  <c r="N218" i="1"/>
  <c r="N213" i="1"/>
  <c r="N99" i="1"/>
  <c r="N216" i="1"/>
  <c r="N200" i="1"/>
  <c r="N217" i="1"/>
  <c r="N11" i="1"/>
  <c r="N52" i="1"/>
  <c r="N51" i="1"/>
  <c r="N214" i="1"/>
  <c r="N266" i="1"/>
  <c r="N71" i="1" l="1"/>
  <c r="N46" i="1"/>
  <c r="N69" i="1"/>
  <c r="N61" i="1"/>
  <c r="N77" i="1"/>
  <c r="N34" i="1"/>
  <c r="N32" i="1"/>
  <c r="N63" i="1"/>
  <c r="N44" i="1"/>
  <c r="N54" i="1"/>
  <c r="N73" i="1"/>
  <c r="N65" i="1"/>
  <c r="N36" i="1"/>
  <c r="N56" i="1"/>
  <c r="N75" i="1"/>
  <c r="N42" i="1"/>
  <c r="N67" i="1"/>
  <c r="N79" i="1" l="1"/>
  <c r="N53" i="1"/>
  <c r="N58" i="1"/>
  <c r="L51" i="10" l="1"/>
  <c r="L9" i="10"/>
  <c r="L50" i="10"/>
  <c r="N250" i="1" l="1"/>
  <c r="N251" i="1"/>
  <c r="N181" i="12"/>
  <c r="N188" i="12"/>
  <c r="N98" i="12"/>
  <c r="N97" i="12"/>
  <c r="N179" i="12"/>
  <c r="N177" i="12"/>
  <c r="N17" i="1" l="1"/>
  <c r="N265" i="1"/>
  <c r="N20" i="1"/>
  <c r="N18" i="1"/>
  <c r="N19" i="1"/>
  <c r="N16" i="1"/>
  <c r="N15" i="1"/>
  <c r="N178" i="12"/>
  <c r="N264" i="1"/>
  <c r="N262" i="1"/>
  <c r="N267" i="1"/>
  <c r="N261" i="1"/>
  <c r="N263" i="1"/>
  <c r="N182" i="12" l="1"/>
  <c r="N185" i="12"/>
  <c r="N183" i="12" l="1"/>
  <c r="N180" i="12"/>
  <c r="N249" i="1" l="1"/>
  <c r="N247" i="1"/>
  <c r="N187" i="12" l="1"/>
  <c r="N147" i="12"/>
  <c r="N186" i="12"/>
  <c r="N248" i="1" l="1"/>
  <c r="N189" i="12" l="1"/>
  <c r="N260" i="1" l="1"/>
  <c r="N219" i="1" l="1"/>
  <c r="N268" i="1" l="1"/>
  <c r="N270" i="1"/>
  <c r="N269" i="1" l="1"/>
  <c r="N220" i="1" l="1"/>
  <c r="N271" i="1" l="1"/>
  <c r="N24" i="1" l="1"/>
  <c r="N25" i="1"/>
  <c r="N29" i="1" l="1"/>
  <c r="N23" i="1"/>
  <c r="N27" i="1"/>
  <c r="N28" i="1"/>
  <c r="N21" i="1" l="1"/>
  <c r="N22" i="1" l="1"/>
  <c r="N99" i="12" l="1"/>
  <c r="N96" i="12"/>
  <c r="N26" i="1" l="1"/>
  <c r="N30" i="1"/>
  <c r="N100" i="12" l="1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31" i="1"/>
  <c r="N33" i="1"/>
  <c r="N35" i="1"/>
  <c r="N37" i="1"/>
  <c r="N38" i="1"/>
  <c r="N39" i="1"/>
  <c r="N40" i="1"/>
  <c r="N41" i="1"/>
  <c r="N43" i="1"/>
  <c r="N45" i="1"/>
  <c r="N47" i="1"/>
  <c r="N49" i="1"/>
  <c r="N50" i="1"/>
  <c r="N55" i="1"/>
  <c r="N57" i="1"/>
  <c r="N59" i="1"/>
  <c r="N60" i="1"/>
  <c r="N62" i="1"/>
  <c r="N64" i="1"/>
  <c r="N66" i="1"/>
  <c r="N68" i="1"/>
  <c r="N70" i="1"/>
  <c r="N72" i="1"/>
  <c r="N74" i="1"/>
  <c r="N76" i="1"/>
  <c r="N78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202" i="1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6" i="12"/>
  <c r="N145" i="12"/>
  <c r="N144" i="12"/>
  <c r="N143" i="12"/>
  <c r="N142" i="12"/>
  <c r="N140" i="12"/>
  <c r="N139" i="12"/>
  <c r="N138" i="12"/>
  <c r="N137" i="12"/>
  <c r="N136" i="12"/>
  <c r="N95" i="12"/>
  <c r="N94" i="12"/>
  <c r="N93" i="12"/>
  <c r="N92" i="12"/>
  <c r="N91" i="12"/>
  <c r="N90" i="12"/>
  <c r="N89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58" i="12"/>
  <c r="N57" i="12"/>
  <c r="N56" i="12"/>
  <c r="N55" i="12"/>
  <c r="N54" i="12"/>
  <c r="N50" i="12"/>
  <c r="N49" i="12"/>
  <c r="N48" i="12"/>
  <c r="N47" i="12"/>
  <c r="N46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2" i="12"/>
  <c r="N211" i="12"/>
  <c r="N21" i="12"/>
  <c r="N20" i="12"/>
  <c r="N19" i="12"/>
  <c r="N18" i="12"/>
  <c r="N17" i="12"/>
  <c r="N16" i="12"/>
  <c r="N15" i="12"/>
  <c r="N14" i="12"/>
  <c r="N13" i="12"/>
  <c r="N12" i="12"/>
  <c r="N11" i="12"/>
  <c r="N210" i="12"/>
  <c r="N209" i="12"/>
  <c r="N208" i="12"/>
  <c r="N207" i="12"/>
  <c r="N206" i="12"/>
  <c r="N205" i="12"/>
  <c r="N204" i="12"/>
  <c r="N203" i="12"/>
  <c r="N202" i="12"/>
  <c r="N201" i="12"/>
  <c r="N200" i="12"/>
  <c r="N199" i="12"/>
  <c r="N198" i="12"/>
  <c r="N197" i="12"/>
  <c r="N196" i="12"/>
  <c r="N195" i="12"/>
  <c r="N194" i="12"/>
  <c r="N193" i="12"/>
  <c r="N192" i="12"/>
  <c r="N191" i="12"/>
  <c r="N190" i="12"/>
  <c r="L23" i="5"/>
  <c r="N105" i="1"/>
  <c r="N107" i="1"/>
  <c r="N109" i="1"/>
  <c r="N111" i="1"/>
  <c r="N113" i="1"/>
  <c r="N106" i="1"/>
  <c r="N108" i="1"/>
  <c r="N110" i="1"/>
  <c r="N241" i="1"/>
  <c r="N243" i="1"/>
  <c r="N245" i="1"/>
  <c r="N246" i="1"/>
  <c r="N252" i="1"/>
  <c r="N253" i="1"/>
  <c r="N254" i="1"/>
  <c r="N255" i="1"/>
  <c r="N256" i="1"/>
  <c r="N257" i="1"/>
  <c r="N242" i="1"/>
  <c r="N244" i="1"/>
  <c r="F16" i="3" l="1"/>
  <c r="F18" i="3"/>
  <c r="N213" i="12"/>
  <c r="F17" i="3"/>
  <c r="F15" i="3"/>
  <c r="N134" i="1"/>
  <c r="N129" i="1"/>
  <c r="N119" i="1"/>
  <c r="N120" i="1"/>
  <c r="N121" i="1"/>
  <c r="N122" i="1"/>
  <c r="N123" i="1"/>
  <c r="N98" i="1"/>
  <c r="N101" i="1"/>
  <c r="N102" i="1"/>
  <c r="N103" i="1"/>
  <c r="L58" i="10"/>
  <c r="L61" i="10"/>
  <c r="L62" i="10"/>
  <c r="L63" i="10"/>
  <c r="L64" i="10"/>
  <c r="L65" i="10"/>
  <c r="L70" i="10"/>
  <c r="L71" i="10"/>
  <c r="L72" i="10"/>
  <c r="L73" i="10"/>
  <c r="L11" i="10"/>
  <c r="L12" i="10"/>
  <c r="K133" i="11"/>
  <c r="E19" i="3" s="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19" i="11"/>
  <c r="L118" i="11"/>
  <c r="L117" i="11"/>
  <c r="L116" i="11"/>
  <c r="L114" i="11"/>
  <c r="L112" i="11"/>
  <c r="L111" i="11"/>
  <c r="L110" i="11"/>
  <c r="L109" i="11"/>
  <c r="L108" i="11"/>
  <c r="L107" i="11"/>
  <c r="L106" i="11"/>
  <c r="L105" i="11"/>
  <c r="L103" i="11"/>
  <c r="L102" i="11"/>
  <c r="L101" i="11"/>
  <c r="L100" i="11"/>
  <c r="L99" i="11"/>
  <c r="L98" i="11"/>
  <c r="L97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133" i="11" l="1"/>
  <c r="F19" i="3" s="1"/>
  <c r="N240" i="1" l="1"/>
  <c r="N238" i="1"/>
  <c r="N239" i="1"/>
  <c r="N167" i="1"/>
  <c r="N168" i="1"/>
  <c r="N189" i="1"/>
  <c r="N205" i="1"/>
  <c r="N206" i="1"/>
  <c r="N208" i="1"/>
  <c r="N272" i="1"/>
  <c r="N210" i="1"/>
  <c r="N221" i="1"/>
  <c r="N222" i="1"/>
  <c r="N223" i="1"/>
  <c r="N224" i="1"/>
  <c r="N225" i="1"/>
  <c r="N226" i="1"/>
  <c r="N227" i="1"/>
  <c r="N228" i="1"/>
  <c r="N258" i="1"/>
  <c r="N259" i="1"/>
  <c r="E20" i="3"/>
  <c r="N6" i="1" l="1"/>
  <c r="N5" i="1"/>
  <c r="N4" i="1"/>
  <c r="N3" i="1"/>
  <c r="L6" i="10"/>
  <c r="L5" i="10"/>
  <c r="L4" i="10"/>
  <c r="L3" i="10"/>
  <c r="K6" i="5"/>
  <c r="K5" i="5"/>
  <c r="K4" i="5"/>
  <c r="K3" i="5"/>
  <c r="L57" i="10"/>
  <c r="L56" i="10"/>
  <c r="L55" i="10"/>
  <c r="L54" i="10"/>
  <c r="L53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8" i="10"/>
  <c r="L27" i="10"/>
  <c r="L26" i="10"/>
  <c r="L25" i="10"/>
  <c r="L24" i="10"/>
  <c r="L23" i="10"/>
  <c r="L22" i="10"/>
  <c r="L21" i="10"/>
  <c r="L20" i="10"/>
  <c r="L16" i="10"/>
  <c r="L15" i="10"/>
  <c r="L14" i="10"/>
  <c r="L13" i="10"/>
  <c r="L10" i="10"/>
  <c r="L74" i="10" l="1"/>
  <c r="F20" i="3" s="1"/>
  <c r="L22" i="5" l="1"/>
  <c r="L21" i="5"/>
  <c r="L20" i="5"/>
  <c r="K25" i="5" l="1"/>
  <c r="E21" i="3" s="1"/>
  <c r="L11" i="5"/>
  <c r="L12" i="5"/>
  <c r="L13" i="5"/>
  <c r="L14" i="5"/>
  <c r="L15" i="5"/>
  <c r="L16" i="5"/>
  <c r="L17" i="5"/>
  <c r="L18" i="5"/>
  <c r="L19" i="5"/>
  <c r="L9" i="5"/>
  <c r="L10" i="5"/>
  <c r="A6" i="5"/>
  <c r="A5" i="5"/>
  <c r="B4" i="5"/>
  <c r="B3" i="5"/>
  <c r="L25" i="5" l="1"/>
  <c r="F21" i="3" s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90" i="1"/>
  <c r="N191" i="1"/>
  <c r="N192" i="1"/>
  <c r="N194" i="1"/>
  <c r="N195" i="1"/>
  <c r="N196" i="1"/>
  <c r="N197" i="1"/>
  <c r="N198" i="1"/>
  <c r="N199" i="1"/>
  <c r="N201" i="1"/>
  <c r="N204" i="1"/>
  <c r="N169" i="1"/>
  <c r="N170" i="1"/>
  <c r="N171" i="1"/>
  <c r="N172" i="1"/>
  <c r="N173" i="1"/>
  <c r="N174" i="1"/>
  <c r="N151" i="1"/>
  <c r="N152" i="1"/>
  <c r="N153" i="1"/>
  <c r="N154" i="1"/>
  <c r="N155" i="1"/>
  <c r="N156" i="1"/>
  <c r="N229" i="1"/>
  <c r="N230" i="1"/>
  <c r="N231" i="1"/>
  <c r="N149" i="1" l="1"/>
  <c r="N150" i="1"/>
  <c r="N97" i="1" l="1"/>
  <c r="N116" i="1" l="1"/>
  <c r="N131" i="1"/>
  <c r="N135" i="1"/>
  <c r="N140" i="1"/>
  <c r="N144" i="1"/>
  <c r="N160" i="1"/>
  <c r="N233" i="1"/>
  <c r="N234" i="1"/>
  <c r="N237" i="1"/>
  <c r="N126" i="1"/>
  <c r="N148" i="1"/>
  <c r="N159" i="1"/>
  <c r="N163" i="1"/>
  <c r="N164" i="1"/>
  <c r="N235" i="1"/>
  <c r="N236" i="1"/>
  <c r="N161" i="1"/>
  <c r="N162" i="1"/>
  <c r="N165" i="1"/>
  <c r="N166" i="1"/>
  <c r="N232" i="1"/>
  <c r="N112" i="1"/>
  <c r="N114" i="1"/>
  <c r="N115" i="1"/>
  <c r="N118" i="1"/>
  <c r="N125" i="1"/>
  <c r="N127" i="1"/>
  <c r="N133" i="1"/>
  <c r="N124" i="1"/>
  <c r="N128" i="1"/>
  <c r="N130" i="1"/>
  <c r="N132" i="1"/>
  <c r="N137" i="1"/>
  <c r="N138" i="1"/>
  <c r="N139" i="1"/>
  <c r="N141" i="1"/>
  <c r="N142" i="1"/>
  <c r="N143" i="1"/>
  <c r="N145" i="1"/>
  <c r="N146" i="1"/>
  <c r="N147" i="1"/>
  <c r="N157" i="1"/>
  <c r="N158" i="1"/>
  <c r="N273" i="1" l="1"/>
  <c r="F13" i="3" s="1"/>
  <c r="A6" i="1"/>
  <c r="A5" i="1"/>
  <c r="C4" i="1"/>
  <c r="C3" i="1"/>
  <c r="E13" i="3" l="1"/>
  <c r="E22" i="3" s="1"/>
  <c r="E12" i="3"/>
  <c r="E14" i="3"/>
  <c r="F14" i="3"/>
  <c r="F12" i="3"/>
  <c r="F22" i="3" l="1"/>
</calcChain>
</file>

<file path=xl/sharedStrings.xml><?xml version="1.0" encoding="utf-8"?>
<sst xmlns="http://schemas.openxmlformats.org/spreadsheetml/2006/main" count="14860" uniqueCount="4393">
  <si>
    <t>Customer:</t>
  </si>
  <si>
    <t>Order date:</t>
  </si>
  <si>
    <t>Ship To:</t>
  </si>
  <si>
    <t>PO#:</t>
  </si>
  <si>
    <t>Need by date:</t>
  </si>
  <si>
    <t>Carrier:</t>
  </si>
  <si>
    <t>Order Quantity</t>
  </si>
  <si>
    <t>Total Price</t>
  </si>
  <si>
    <t>Individual Parts totals:</t>
  </si>
  <si>
    <t>Part Kits totals:</t>
  </si>
  <si>
    <t>Merch. And Marketing:</t>
  </si>
  <si>
    <t>Order totals:</t>
  </si>
  <si>
    <t>Ordering instructions:</t>
  </si>
  <si>
    <t>1) Please enter order details (Customer name, Ship to address, PO#, etc.) on the top of this tab, the other tabs will populate</t>
  </si>
  <si>
    <t>2)  Enter the quantities you would like to order on the appropriate line item in the Order Input tabs and</t>
  </si>
  <si>
    <t xml:space="preserve">      the Order Summary page will calculate your order totals.</t>
  </si>
  <si>
    <t>Please contact us at orders@level5tools.com if you have questions.</t>
  </si>
  <si>
    <t>Order Form</t>
  </si>
  <si>
    <t xml:space="preserve">Please note that the case quantities are noted for each Product. Ordering in multiples of inner case quantities helps us keep costs low to you and reduces damage during shipping. </t>
  </si>
  <si>
    <t>Part #</t>
  </si>
  <si>
    <t>Description</t>
  </si>
  <si>
    <t>MSRP</t>
  </si>
  <si>
    <t>Your Price</t>
  </si>
  <si>
    <t>UOM</t>
  </si>
  <si>
    <t>Inner Case Qty</t>
  </si>
  <si>
    <t>4-907</t>
  </si>
  <si>
    <t>Each</t>
  </si>
  <si>
    <t>4-910</t>
  </si>
  <si>
    <t>4-914</t>
  </si>
  <si>
    <t>4-916</t>
  </si>
  <si>
    <t>4-924</t>
  </si>
  <si>
    <t>4-932</t>
  </si>
  <si>
    <t>4-940</t>
  </si>
  <si>
    <t>4-941</t>
  </si>
  <si>
    <t>4-942</t>
  </si>
  <si>
    <t>4-943</t>
  </si>
  <si>
    <t>4-948</t>
  </si>
  <si>
    <t>4-949</t>
  </si>
  <si>
    <t>4-950</t>
  </si>
  <si>
    <t>4-951</t>
  </si>
  <si>
    <t>4-952</t>
  </si>
  <si>
    <t>4-953</t>
  </si>
  <si>
    <t>4-954</t>
  </si>
  <si>
    <t>4-955</t>
  </si>
  <si>
    <t>4-956</t>
  </si>
  <si>
    <t>4-959</t>
  </si>
  <si>
    <t>4-960</t>
  </si>
  <si>
    <t>4-961</t>
  </si>
  <si>
    <t>4-962</t>
  </si>
  <si>
    <t>4-963</t>
  </si>
  <si>
    <t>4-964</t>
  </si>
  <si>
    <t>4-971</t>
  </si>
  <si>
    <t>4-972</t>
  </si>
  <si>
    <t>4-973</t>
  </si>
  <si>
    <t>4-988</t>
  </si>
  <si>
    <t>4-989</t>
  </si>
  <si>
    <t>5-100</t>
  </si>
  <si>
    <t>5-122</t>
  </si>
  <si>
    <t>5-124</t>
  </si>
  <si>
    <t>5-126</t>
  </si>
  <si>
    <t>5-127</t>
  </si>
  <si>
    <t>5-128</t>
  </si>
  <si>
    <t>5-134</t>
  </si>
  <si>
    <t>5-136</t>
  </si>
  <si>
    <t>5-137</t>
  </si>
  <si>
    <t>5-138</t>
  </si>
  <si>
    <t>5-139</t>
  </si>
  <si>
    <t>5-140</t>
  </si>
  <si>
    <t>5-141</t>
  </si>
  <si>
    <t>5-142</t>
  </si>
  <si>
    <t>5-144</t>
  </si>
  <si>
    <t>5-146</t>
  </si>
  <si>
    <t>5-149</t>
  </si>
  <si>
    <t>5-150</t>
  </si>
  <si>
    <t>5-151</t>
  </si>
  <si>
    <t>5-152</t>
  </si>
  <si>
    <t>5-154</t>
  </si>
  <si>
    <t>5-156</t>
  </si>
  <si>
    <t>5-180</t>
  </si>
  <si>
    <t>5-182</t>
  </si>
  <si>
    <t>5-184</t>
  </si>
  <si>
    <t>5-186</t>
  </si>
  <si>
    <t>5-188</t>
  </si>
  <si>
    <t>5-190</t>
  </si>
  <si>
    <t>5-192</t>
  </si>
  <si>
    <t>5-194</t>
  </si>
  <si>
    <t>5-196</t>
  </si>
  <si>
    <t>5-198</t>
  </si>
  <si>
    <t>5-200</t>
  </si>
  <si>
    <t>5-201</t>
  </si>
  <si>
    <t>5-202</t>
  </si>
  <si>
    <t>5-210</t>
  </si>
  <si>
    <t>5-292</t>
  </si>
  <si>
    <t>5-293</t>
  </si>
  <si>
    <t>5-294</t>
  </si>
  <si>
    <t>5-295</t>
  </si>
  <si>
    <t>5-310</t>
  </si>
  <si>
    <t>5-312</t>
  </si>
  <si>
    <t>5-320</t>
  </si>
  <si>
    <t>5-325</t>
  </si>
  <si>
    <t>5-332</t>
  </si>
  <si>
    <t>5-334</t>
  </si>
  <si>
    <t>5-336</t>
  </si>
  <si>
    <t>5-401</t>
  </si>
  <si>
    <t>5-402</t>
  </si>
  <si>
    <t>5-403</t>
  </si>
  <si>
    <t>5-404</t>
  </si>
  <si>
    <t>5-405</t>
  </si>
  <si>
    <t>5-406</t>
  </si>
  <si>
    <t>5-408</t>
  </si>
  <si>
    <t>5-410</t>
  </si>
  <si>
    <t>5-411</t>
  </si>
  <si>
    <t>DXTT-2-122</t>
  </si>
  <si>
    <t>DXTT-2-124</t>
  </si>
  <si>
    <t>DXTT-2-126</t>
  </si>
  <si>
    <t>DXTT-2-127</t>
  </si>
  <si>
    <t>DXTT-2-128</t>
  </si>
  <si>
    <t>DXTT-2-134</t>
  </si>
  <si>
    <t>DXTT-2-136</t>
  </si>
  <si>
    <t>DXTT-2-137</t>
  </si>
  <si>
    <t>DXTT-2-138</t>
  </si>
  <si>
    <t>DXTT-2-139</t>
  </si>
  <si>
    <t>DXTT-2-140</t>
  </si>
  <si>
    <t>DXTT-2-141</t>
  </si>
  <si>
    <t>DXTT-2-142</t>
  </si>
  <si>
    <t>DXTT-2-144</t>
  </si>
  <si>
    <t>DXTT-2-146</t>
  </si>
  <si>
    <t>DXTT-2-147</t>
  </si>
  <si>
    <t>DXTT-2-148</t>
  </si>
  <si>
    <t>DXTT-2-149</t>
  </si>
  <si>
    <t>DXTT-2-150</t>
  </si>
  <si>
    <t>DXTT-2-151</t>
  </si>
  <si>
    <t>DXTT-2-152</t>
  </si>
  <si>
    <t>DXTT-2-154</t>
  </si>
  <si>
    <t>DXTT-2-156</t>
  </si>
  <si>
    <t>DXTT-2-180</t>
  </si>
  <si>
    <t>DXTT-2-182</t>
  </si>
  <si>
    <t>DXTT-2-184</t>
  </si>
  <si>
    <t>DXTT-2-186</t>
  </si>
  <si>
    <t>DXTT-2-188</t>
  </si>
  <si>
    <t>DXTT-2-190</t>
  </si>
  <si>
    <t>DXTT-2-192</t>
  </si>
  <si>
    <t>DXTT-2-194</t>
  </si>
  <si>
    <t>DXTT-2-196</t>
  </si>
  <si>
    <t>DXTT-2-198</t>
  </si>
  <si>
    <t>DXTT-2-200</t>
  </si>
  <si>
    <t>DXTT-2-201</t>
  </si>
  <si>
    <t>DXTT-2-202</t>
  </si>
  <si>
    <t>DXTT-2-292</t>
  </si>
  <si>
    <t>DXTT-2-293</t>
  </si>
  <si>
    <t>DXTT-2-294</t>
  </si>
  <si>
    <t>DXTT-2-295</t>
  </si>
  <si>
    <t>DXTT-2-325</t>
  </si>
  <si>
    <t>DXTT-2-332</t>
  </si>
  <si>
    <t>DXTT-2-334</t>
  </si>
  <si>
    <t>DXTT-2-336</t>
  </si>
  <si>
    <t>DXTT-2-401</t>
  </si>
  <si>
    <t>DXTT-2-402</t>
  </si>
  <si>
    <t>DXTT-2-403</t>
  </si>
  <si>
    <t>DXTT-2-404</t>
  </si>
  <si>
    <t>DXTT-2-405</t>
  </si>
  <si>
    <t>DXTT-2-406</t>
  </si>
  <si>
    <t>DXTT-2-408</t>
  </si>
  <si>
    <t>DXTT-2-410</t>
  </si>
  <si>
    <t>DXTT-2-411</t>
  </si>
  <si>
    <t>DXTT-2-907</t>
  </si>
  <si>
    <t>DXTT-2-910</t>
  </si>
  <si>
    <t>DXTT-2-914</t>
  </si>
  <si>
    <t>DXTT-2-916</t>
  </si>
  <si>
    <t>DXTT-2-924</t>
  </si>
  <si>
    <t>DXTT-2-932</t>
  </si>
  <si>
    <t>DXTT-2-940</t>
  </si>
  <si>
    <t>DXTT-2-941</t>
  </si>
  <si>
    <t>DXTT-2-942</t>
  </si>
  <si>
    <t>DXTT-2-943</t>
  </si>
  <si>
    <t>DXTT-2-948</t>
  </si>
  <si>
    <t>DXTT-2-949</t>
  </si>
  <si>
    <t>DXTT-2-950</t>
  </si>
  <si>
    <t>DXTT-2-951</t>
  </si>
  <si>
    <t>DXTT-2-952</t>
  </si>
  <si>
    <t>DXTT-2-953</t>
  </si>
  <si>
    <t>DXTT-2-954</t>
  </si>
  <si>
    <t>DXTT-2-955</t>
  </si>
  <si>
    <t>DXTT-2-956</t>
  </si>
  <si>
    <t>DXTT-2-959</t>
  </si>
  <si>
    <t>DXTT-2-960</t>
  </si>
  <si>
    <t>DXTT-2-961</t>
  </si>
  <si>
    <t>DXTT-2-962</t>
  </si>
  <si>
    <t>DXTT-2-963</t>
  </si>
  <si>
    <t>DXTT-2-964</t>
  </si>
  <si>
    <t>DXTT-2-971</t>
  </si>
  <si>
    <t>DXTT-2-972</t>
  </si>
  <si>
    <t>DXTT-2-973</t>
  </si>
  <si>
    <t>DXTT-2-982</t>
  </si>
  <si>
    <t>DXTT-2-986</t>
  </si>
  <si>
    <t>DXTT-2-987</t>
  </si>
  <si>
    <t>4-701</t>
  </si>
  <si>
    <t>4-702</t>
  </si>
  <si>
    <t>4-707</t>
  </si>
  <si>
    <t>4-711</t>
  </si>
  <si>
    <t>34"Flat Box Fixed Hndl</t>
  </si>
  <si>
    <t>4-712</t>
  </si>
  <si>
    <t>42"Flat Box Fixed Hndl</t>
  </si>
  <si>
    <t>4-714</t>
  </si>
  <si>
    <t>Gooseneck</t>
  </si>
  <si>
    <t>4-715</t>
  </si>
  <si>
    <t xml:space="preserve">Flat Box Filler </t>
  </si>
  <si>
    <t>4-732</t>
  </si>
  <si>
    <t>2.5"Corner Finisher</t>
  </si>
  <si>
    <t>4-733</t>
  </si>
  <si>
    <t xml:space="preserve">3"Corner Finisher </t>
  </si>
  <si>
    <t>4-734</t>
  </si>
  <si>
    <t xml:space="preserve">3.5"Corner Finisher </t>
  </si>
  <si>
    <t>4-735</t>
  </si>
  <si>
    <t xml:space="preserve">4"Corner Finisher </t>
  </si>
  <si>
    <t>4-740</t>
  </si>
  <si>
    <t>54"Fixed Flat Box Hndl</t>
  </si>
  <si>
    <t>4-754</t>
  </si>
  <si>
    <t>4-755</t>
  </si>
  <si>
    <t>4-759</t>
  </si>
  <si>
    <t>48"- 78"Flat Box Ext Hndl</t>
  </si>
  <si>
    <t>4-760</t>
  </si>
  <si>
    <t>4-764</t>
  </si>
  <si>
    <t>4-765</t>
  </si>
  <si>
    <t>4-766</t>
  </si>
  <si>
    <t>4-767</t>
  </si>
  <si>
    <t>4-768</t>
  </si>
  <si>
    <t>4-769</t>
  </si>
  <si>
    <t>4-770</t>
  </si>
  <si>
    <t>4-771</t>
  </si>
  <si>
    <t>4-777</t>
  </si>
  <si>
    <t>50"Corner Roller Fixed Hndl</t>
  </si>
  <si>
    <t>4-778</t>
  </si>
  <si>
    <t>50"Corner Applicator Fixed Hndl</t>
  </si>
  <si>
    <t>4-779</t>
  </si>
  <si>
    <t>54"Corner Finisher Hndl</t>
  </si>
  <si>
    <t>4-780</t>
  </si>
  <si>
    <t>40"-62"Flat Box Ext Hndl</t>
  </si>
  <si>
    <t>4-781</t>
  </si>
  <si>
    <t>30"-42"Flat Box Ext Hndl</t>
  </si>
  <si>
    <t>4-782</t>
  </si>
  <si>
    <t>23"-32"Flat Box Ext Hndl</t>
  </si>
  <si>
    <t>4-792</t>
  </si>
  <si>
    <t>36"-52"Corner Roller Ext Hndl</t>
  </si>
  <si>
    <t>4-794</t>
  </si>
  <si>
    <t>40"-58"Corner Applicator Ext Hndl</t>
  </si>
  <si>
    <t>4-795</t>
  </si>
  <si>
    <t>39"-57"Corner Finisher Ext Hndl</t>
  </si>
  <si>
    <t>4-796</t>
  </si>
  <si>
    <t>47"-77"Corner Roller Ext Hndl</t>
  </si>
  <si>
    <t>4-798</t>
  </si>
  <si>
    <t>47"-77"Corner Applicator Ext Hndl</t>
  </si>
  <si>
    <t>4-799</t>
  </si>
  <si>
    <t>50"-80"Corner Finisher Ext Hndl</t>
  </si>
  <si>
    <t>4-877</t>
  </si>
  <si>
    <t>Corner Roller Head</t>
  </si>
  <si>
    <t>4-878</t>
  </si>
  <si>
    <t>Corner Applicator Head</t>
  </si>
  <si>
    <t>4-879</t>
  </si>
  <si>
    <t>Corner Finisher Head</t>
  </si>
  <si>
    <t>4-880</t>
  </si>
  <si>
    <t>39"-57"Ext Hndl-no head</t>
  </si>
  <si>
    <t>4-881</t>
  </si>
  <si>
    <t>47"-77"Ext Hndl-no head</t>
  </si>
  <si>
    <t>DXTT-2-701</t>
  </si>
  <si>
    <t>DXTT-2-707</t>
  </si>
  <si>
    <t>DXTT-2-714</t>
  </si>
  <si>
    <t>DXTT-2-715</t>
  </si>
  <si>
    <t>DXTT-2-732</t>
  </si>
  <si>
    <t>DXTT-2-733</t>
  </si>
  <si>
    <t>DXTT-2-734</t>
  </si>
  <si>
    <t>DXTT-2-735</t>
  </si>
  <si>
    <t>DXTT-2-759</t>
  </si>
  <si>
    <t>DXTT-2-760</t>
  </si>
  <si>
    <t>DXTT-2-764</t>
  </si>
  <si>
    <t>DXTT-2-765</t>
  </si>
  <si>
    <t>DXTT-2-766</t>
  </si>
  <si>
    <t>DXTT-2-767</t>
  </si>
  <si>
    <t>DXTT-2-768</t>
  </si>
  <si>
    <t>DXTT-2-769</t>
  </si>
  <si>
    <t>DXTT-2-770</t>
  </si>
  <si>
    <t>DXTT-2-771</t>
  </si>
  <si>
    <t>DXTT-2-772</t>
  </si>
  <si>
    <t>DXTT-2-773</t>
  </si>
  <si>
    <t>DXTT-2-780</t>
  </si>
  <si>
    <t>DXTT-2-781</t>
  </si>
  <si>
    <t>DXTT-2-782</t>
  </si>
  <si>
    <t>DXTT-2-792</t>
  </si>
  <si>
    <t>DXTT-2-794</t>
  </si>
  <si>
    <t>DXTT-2-795</t>
  </si>
  <si>
    <t>DXTT-2-796</t>
  </si>
  <si>
    <t>DXTT-2-798</t>
  </si>
  <si>
    <t>DXTT-2-799</t>
  </si>
  <si>
    <t>DXTT-2-877</t>
  </si>
  <si>
    <t>DXTT-2-878</t>
  </si>
  <si>
    <t>DXTT-2-879</t>
  </si>
  <si>
    <t>DXTT-2-880</t>
  </si>
  <si>
    <t>DXTT-2-881</t>
  </si>
  <si>
    <t xml:space="preserve">    </t>
  </si>
  <si>
    <t>4-600P</t>
  </si>
  <si>
    <t>Taping Finishing Set w/Fixed Hndls-P</t>
  </si>
  <si>
    <t>4-601P</t>
  </si>
  <si>
    <t>Taping Finishing Set w/Ext Hndls-P</t>
  </si>
  <si>
    <t>4-605</t>
  </si>
  <si>
    <t>Flat Box Set 10"/12"wExt Hndl</t>
  </si>
  <si>
    <t>4-604</t>
  </si>
  <si>
    <t>Flat Bx Set 10"/12"w/42"Fixed Hndl</t>
  </si>
  <si>
    <t>4-625P</t>
  </si>
  <si>
    <t>MEGA BX Tap-Fin Set w/Ext Hndls-P</t>
  </si>
  <si>
    <t>5-600</t>
  </si>
  <si>
    <t>SS Hand Tool Set</t>
  </si>
  <si>
    <t>5-609</t>
  </si>
  <si>
    <t>Ultimate SS Hand Tool Set</t>
  </si>
  <si>
    <t>5-619</t>
  </si>
  <si>
    <t>3PC SS Taping Knife Set</t>
  </si>
  <si>
    <t>5-441</t>
  </si>
  <si>
    <t>10",24",32"Skim Set w/Ext Hndl+Adpt</t>
  </si>
  <si>
    <t>5-440</t>
  </si>
  <si>
    <t>10",16",24"Skim Set w/Ext Hndl+Adpt</t>
  </si>
  <si>
    <t>5-460</t>
  </si>
  <si>
    <t>12",14"Flat.7mm Trowel Set w/Hawk</t>
  </si>
  <si>
    <t>DXTT-2-600P</t>
  </si>
  <si>
    <t>DXTT-2-615</t>
  </si>
  <si>
    <t>DXTT-2-616P</t>
  </si>
  <si>
    <t>DXTT-2-605</t>
  </si>
  <si>
    <t>DXTT-3-441</t>
  </si>
  <si>
    <t>DXTT-3-440</t>
  </si>
  <si>
    <t>DXTT-3-609</t>
  </si>
  <si>
    <t>DXTT-3-173</t>
  </si>
  <si>
    <t>DXTT-3-460</t>
  </si>
  <si>
    <t>ALL PARTS SALES ARE FINAL</t>
  </si>
  <si>
    <t>DXTT-1109</t>
  </si>
  <si>
    <t>MudShot U-Cup</t>
  </si>
  <si>
    <t>DXTT-1111</t>
  </si>
  <si>
    <t>Clear Tube Base</t>
  </si>
  <si>
    <t>DXTT-1117</t>
  </si>
  <si>
    <t>Top Cone O'Ring</t>
  </si>
  <si>
    <t>DXTT-1125</t>
  </si>
  <si>
    <t>Top Cone (Plastic Part Only)</t>
  </si>
  <si>
    <t>DXTT-1126</t>
  </si>
  <si>
    <t>Screw</t>
  </si>
  <si>
    <t>DXTT-1132</t>
  </si>
  <si>
    <t>MudShot Plunger U-Cup</t>
  </si>
  <si>
    <t>DXTT-1133</t>
  </si>
  <si>
    <t>DXTT-1134</t>
  </si>
  <si>
    <t>MudShot Cylinder Rod</t>
  </si>
  <si>
    <t>DXTT-1137</t>
  </si>
  <si>
    <t>MudShot Gas Cylinder</t>
  </si>
  <si>
    <t>DXTT-1139</t>
  </si>
  <si>
    <t>MudShot Cone Assembly</t>
  </si>
  <si>
    <t>DXTT-1140</t>
  </si>
  <si>
    <t>Mud Shot Tube Assembly</t>
  </si>
  <si>
    <t>Pump Tube Foot</t>
  </si>
  <si>
    <t>Pump Tube</t>
  </si>
  <si>
    <t>Handle Outlet Valve</t>
  </si>
  <si>
    <t>Wiper, Control Valve</t>
  </si>
  <si>
    <t>Lock Roller Assembly (Brake)</t>
  </si>
  <si>
    <t>Anvil</t>
  </si>
  <si>
    <t>Needle Gooser</t>
  </si>
  <si>
    <t>Creaser Wheel</t>
  </si>
  <si>
    <t>Bearing Nyliner</t>
  </si>
  <si>
    <t>8-32 x 5/16 Setscrew</t>
  </si>
  <si>
    <t>Taper Wheel</t>
  </si>
  <si>
    <t>Spring Drive Dog</t>
  </si>
  <si>
    <t>Drive Dog Assembly</t>
  </si>
  <si>
    <t>Main Chain</t>
  </si>
  <si>
    <t>Pyramid Blade</t>
  </si>
  <si>
    <t xml:space="preserve">1/16 x 1/2" Cotter Pin </t>
  </si>
  <si>
    <t>Nyliner Bearing-Straight</t>
  </si>
  <si>
    <t>4-40 x 5/16 BH Screw-</t>
  </si>
  <si>
    <t>Plunger Cup</t>
  </si>
  <si>
    <t>Cable</t>
  </si>
  <si>
    <t>Tape Spool</t>
  </si>
  <si>
    <t>7" Flat Box Blade</t>
  </si>
  <si>
    <t>Blade Holder Assembly 7"</t>
  </si>
  <si>
    <t>Skid Cover Rt Side, Universal</t>
  </si>
  <si>
    <t>Crown Spring</t>
  </si>
  <si>
    <t>Repair Clip</t>
  </si>
  <si>
    <t>Skid Cover Left Side Universal</t>
  </si>
  <si>
    <t>10" Flat Box Blade</t>
  </si>
  <si>
    <t>12" Flat Box Blade</t>
  </si>
  <si>
    <t>14" Flat Box Blade</t>
  </si>
  <si>
    <t>14" Box Blade Holder Assembly</t>
  </si>
  <si>
    <t>12/14" Crown Spring</t>
  </si>
  <si>
    <t>Blade Holder Assembly 12"</t>
  </si>
  <si>
    <t>Plunger Cup Assembly</t>
  </si>
  <si>
    <t>2" Nail Spotter Blade</t>
  </si>
  <si>
    <t>Gooser Assembly</t>
  </si>
  <si>
    <t>Bearing</t>
  </si>
  <si>
    <t>Gland</t>
  </si>
  <si>
    <t>U-Seal</t>
  </si>
  <si>
    <t>5/16-24 Hex Head</t>
  </si>
  <si>
    <t>Piston Cups</t>
  </si>
  <si>
    <t>Valve Disc</t>
  </si>
  <si>
    <t>Cutter Chain without Spring</t>
  </si>
  <si>
    <t>Filler O'Ring</t>
  </si>
  <si>
    <t>5-16-24 x 1 7/16 Std Screw</t>
  </si>
  <si>
    <t>Special Nut</t>
  </si>
  <si>
    <t>Discharge Tube</t>
  </si>
  <si>
    <t>Chain Assembly (W/ 1 S Hook)</t>
  </si>
  <si>
    <t>Gooseneck Gasket</t>
  </si>
  <si>
    <t>5/16 - 18 3/4 Thumbscrew, SS</t>
  </si>
  <si>
    <t>Small Thumb Screw</t>
  </si>
  <si>
    <t>Bearing, 5L7D-642</t>
  </si>
  <si>
    <t>3 Nail Spotter Blade</t>
  </si>
  <si>
    <t>Pin</t>
  </si>
  <si>
    <t>Quick Release Pin</t>
  </si>
  <si>
    <t>Pump O-Ring</t>
  </si>
  <si>
    <t>Top Cover Plate</t>
  </si>
  <si>
    <t>Cover Plate Knob</t>
  </si>
  <si>
    <t>Bottom Cover Plate</t>
  </si>
  <si>
    <t>2" Wiper</t>
  </si>
  <si>
    <t>3" Wiper</t>
  </si>
  <si>
    <t>CF Lock Clip Spring</t>
  </si>
  <si>
    <t>CF Ball Locking Clip</t>
  </si>
  <si>
    <t>Latch</t>
  </si>
  <si>
    <t>Drive Shaft Assembly</t>
  </si>
  <si>
    <t>Flat Box Seal, 10"</t>
  </si>
  <si>
    <t>Flat Box Seal, 7"</t>
  </si>
  <si>
    <t>Flat Box Seal, 12"</t>
  </si>
  <si>
    <t>#10-32 Hex Head Shoulder Screw</t>
  </si>
  <si>
    <t>Ext. Handle Lever</t>
  </si>
  <si>
    <t>Plastic Bearing</t>
  </si>
  <si>
    <t>Drive Dog Set Screw - SS 8-32 x 3/16"</t>
  </si>
  <si>
    <t>Roller Axle Spring (Brake Pin)</t>
  </si>
  <si>
    <t>Push Rod Assembly</t>
  </si>
  <si>
    <t>Creaser Spring - Taper</t>
  </si>
  <si>
    <t>Cutter Spring- Taper</t>
  </si>
  <si>
    <t>CF 3" Blade</t>
  </si>
  <si>
    <t>CF 2.5" and 3" Skid</t>
  </si>
  <si>
    <t>CF 6-32 x 1/8 SS Hex</t>
  </si>
  <si>
    <t>CF Bottom Clip 2.5" &amp; 3"</t>
  </si>
  <si>
    <t>CF Top Clip</t>
  </si>
  <si>
    <t>CF Buttom Clip 3.5" &amp; 4"</t>
  </si>
  <si>
    <t>CF Top Clip 3.5" &amp; 4"</t>
  </si>
  <si>
    <t>Ext. Box Handle Head</t>
  </si>
  <si>
    <t>Wiper Seal 7"</t>
  </si>
  <si>
    <t>8" App. Gasket</t>
  </si>
  <si>
    <t>Screen for New Pump</t>
  </si>
  <si>
    <t>CF Rubber Tire</t>
  </si>
  <si>
    <t>CF 3.5" &amp; 4" Skids</t>
  </si>
  <si>
    <t>New pump latches</t>
  </si>
  <si>
    <t>FB Box Tire</t>
  </si>
  <si>
    <t>CF 2.5" Blade</t>
  </si>
  <si>
    <t>FB Box Wheel, Black</t>
  </si>
  <si>
    <t>CF 3.5" Blade</t>
  </si>
  <si>
    <t>EH- Handle Head to Plate Connector</t>
  </si>
  <si>
    <t>Total</t>
  </si>
  <si>
    <t>4-801</t>
  </si>
  <si>
    <t>Pump Rebuild Kit</t>
  </si>
  <si>
    <t>4-805</t>
  </si>
  <si>
    <t>7" Flat Box Seal</t>
  </si>
  <si>
    <t>4-806</t>
  </si>
  <si>
    <t>10" Flat Box Seal</t>
  </si>
  <si>
    <t>4-807</t>
  </si>
  <si>
    <t>12" Flat Box Seal</t>
  </si>
  <si>
    <t>4-808</t>
  </si>
  <si>
    <t>Flat Box Repair Kit</t>
  </si>
  <si>
    <t>4-815</t>
  </si>
  <si>
    <t>Taper Repair Kit</t>
  </si>
  <si>
    <t>4-816</t>
  </si>
  <si>
    <t>Taper Rebuild Kit</t>
  </si>
  <si>
    <t>4-817</t>
  </si>
  <si>
    <t>4-818</t>
  </si>
  <si>
    <t>4-821</t>
  </si>
  <si>
    <t>10 Pack Pyramid Blades</t>
  </si>
  <si>
    <t>4-822</t>
  </si>
  <si>
    <t>25 Pack Pyramid Blades</t>
  </si>
  <si>
    <t>4-823</t>
  </si>
  <si>
    <t>10 Pack Pump Gaskets</t>
  </si>
  <si>
    <t>4-824</t>
  </si>
  <si>
    <t>10 Pack Filler O'Rings</t>
  </si>
  <si>
    <t>4-825</t>
  </si>
  <si>
    <t>4-827</t>
  </si>
  <si>
    <t>7" Flat Box Axle Assembly</t>
  </si>
  <si>
    <t>4-828</t>
  </si>
  <si>
    <t>10" Flat Box Axle Assembly</t>
  </si>
  <si>
    <t>4-829</t>
  </si>
  <si>
    <t>12" Flat Box Axle Assembly</t>
  </si>
  <si>
    <t>4-830</t>
  </si>
  <si>
    <t>5 Pack 7" Flat Box Blade</t>
  </si>
  <si>
    <t>4-831</t>
  </si>
  <si>
    <t>5 Pack 10" Flat Box Blade</t>
  </si>
  <si>
    <t>4-832</t>
  </si>
  <si>
    <t>5 Pack 12" Flat Box Blade</t>
  </si>
  <si>
    <t>4-833</t>
  </si>
  <si>
    <t>4-834</t>
  </si>
  <si>
    <t>4-835</t>
  </si>
  <si>
    <t>4-836</t>
  </si>
  <si>
    <t>7" Brass Blade Holder  Assembly</t>
  </si>
  <si>
    <t>4-837</t>
  </si>
  <si>
    <t>10" Brass Blade Holder  Assembly</t>
  </si>
  <si>
    <t>4-838</t>
  </si>
  <si>
    <t>12" Brass Blade Holder Assembly</t>
  </si>
  <si>
    <t>4-839</t>
  </si>
  <si>
    <t>CF Retainer Conversion</t>
  </si>
  <si>
    <t>4-841</t>
  </si>
  <si>
    <t>CF Ball Coupling Kit - 9177</t>
  </si>
  <si>
    <t>4-842</t>
  </si>
  <si>
    <t>CF-2.5" Blade Kit</t>
  </si>
  <si>
    <t>4-843</t>
  </si>
  <si>
    <t>CF - 3" Blade Kit</t>
  </si>
  <si>
    <t>4-844</t>
  </si>
  <si>
    <t>CF -3.5" Blade Kit</t>
  </si>
  <si>
    <t>4-845</t>
  </si>
  <si>
    <t>C.F. 4" Blade Kit</t>
  </si>
  <si>
    <t>4-854</t>
  </si>
  <si>
    <t>2.5" CF w/Wheels Spring Kit</t>
  </si>
  <si>
    <t>4-855</t>
  </si>
  <si>
    <t>3" CF w/Wheels Spring Kit</t>
  </si>
  <si>
    <t>4-856</t>
  </si>
  <si>
    <t>3.5" CF w/Wheels Spring Kit</t>
  </si>
  <si>
    <t>4-857</t>
  </si>
  <si>
    <t>4" CF w/Wheels Spring Kit</t>
  </si>
  <si>
    <t>4-860</t>
  </si>
  <si>
    <t>New Style Pump (Brass Nut)</t>
  </si>
  <si>
    <t>4-861</t>
  </si>
  <si>
    <t>Cutter Chain Assembly (new Style)</t>
  </si>
  <si>
    <t>4-862</t>
  </si>
  <si>
    <t>The Outsider</t>
  </si>
  <si>
    <t>1-301</t>
  </si>
  <si>
    <t>Safety Green T-Shirt Version 3 - Small</t>
  </si>
  <si>
    <t>1-302</t>
  </si>
  <si>
    <t>Safety Green T-Shirt Version 3 - Medium</t>
  </si>
  <si>
    <t>1-303</t>
  </si>
  <si>
    <t>Safety Green T-Shirt Version 3 - Large</t>
  </si>
  <si>
    <t>1-304</t>
  </si>
  <si>
    <t>Safety Green T-Shirt Version 3 - XL</t>
  </si>
  <si>
    <t>1-305</t>
  </si>
  <si>
    <t>Safety Green T-Shirt Version 3 - 2XL</t>
  </si>
  <si>
    <t>1-306</t>
  </si>
  <si>
    <t>Safety Green T-Shirt Version 3 - 3XL</t>
  </si>
  <si>
    <t>1-311</t>
  </si>
  <si>
    <t>Red T-Shirt Version 3 - Small</t>
  </si>
  <si>
    <t>1-312</t>
  </si>
  <si>
    <t>Red T-Shirt Version 3 - Medium</t>
  </si>
  <si>
    <t>1-313</t>
  </si>
  <si>
    <t>Red T-Shirt Version 3 - Large</t>
  </si>
  <si>
    <t>1-314</t>
  </si>
  <si>
    <t>Red T-Shirt Version 3 - XL</t>
  </si>
  <si>
    <t>9-100</t>
  </si>
  <si>
    <t>Brochure-DW Hand Tools</t>
  </si>
  <si>
    <t>9-101</t>
  </si>
  <si>
    <t>Brochure-DW Automatic Taping Tools</t>
  </si>
  <si>
    <t>9-102</t>
  </si>
  <si>
    <t>Brochure-L5 Hand Tools</t>
  </si>
  <si>
    <t>9-103</t>
  </si>
  <si>
    <t>Brochure-L5 Automatic Taping Tools</t>
  </si>
  <si>
    <t>9-200</t>
  </si>
  <si>
    <t>Dealer sign-L5</t>
  </si>
  <si>
    <t>9-202</t>
  </si>
  <si>
    <t>Banner-L5</t>
  </si>
  <si>
    <t>1-120</t>
  </si>
  <si>
    <t>L5T Baseball Cap</t>
  </si>
  <si>
    <t>Merchandise and Marketing totals:</t>
  </si>
  <si>
    <t>DXTT-2-291</t>
  </si>
  <si>
    <t>DXTT-2-326</t>
  </si>
  <si>
    <t>DXTT-2-380</t>
  </si>
  <si>
    <t>DXTT-2-381</t>
  </si>
  <si>
    <t>DXTT-2-382</t>
  </si>
  <si>
    <t>DXTT-2-383</t>
  </si>
  <si>
    <t>DXTT-2-384</t>
  </si>
  <si>
    <t>DXTT-2-385</t>
  </si>
  <si>
    <t>DXTT-2-386</t>
  </si>
  <si>
    <t>DXTT-2-387</t>
  </si>
  <si>
    <t>DXTT-2-388</t>
  </si>
  <si>
    <t>DXTT-2-389</t>
  </si>
  <si>
    <t>DXTT-2-390</t>
  </si>
  <si>
    <t>DXTT-2-391</t>
  </si>
  <si>
    <t>DXTT-2-392</t>
  </si>
  <si>
    <t>DXTT-2-504</t>
  </si>
  <si>
    <t>DXTT-2-505</t>
  </si>
  <si>
    <t>DXTT-2-506</t>
  </si>
  <si>
    <t>5-147</t>
  </si>
  <si>
    <t>1"SS Joint Knife-Sft Grp Hndl</t>
  </si>
  <si>
    <t>5-148</t>
  </si>
  <si>
    <t>2"SS Joint Knife-Sft Grp Hndl</t>
  </si>
  <si>
    <t>5-291</t>
  </si>
  <si>
    <t>Mixer 5" Head 32" Shaft</t>
  </si>
  <si>
    <t>5-380</t>
  </si>
  <si>
    <t>8"SS OffSet T-Knife-Stiff w/Adpt</t>
  </si>
  <si>
    <t>5-381</t>
  </si>
  <si>
    <t>8"SS OffSet T-Knife-Flex w/Adpt</t>
  </si>
  <si>
    <t>5-382</t>
  </si>
  <si>
    <t>10"SS OffSet T-Knife-Stiff w/Adpt</t>
  </si>
  <si>
    <t>5-383</t>
  </si>
  <si>
    <t>10"SS OffSet T-Knife-Flex w/Adpt</t>
  </si>
  <si>
    <t>5-384</t>
  </si>
  <si>
    <t>12"SS OffSet T-Knife-Stiff w/Adpt</t>
  </si>
  <si>
    <t>5-385</t>
  </si>
  <si>
    <t>12"SS OffSet T-Knife-Flex w/Adpt</t>
  </si>
  <si>
    <t>5-386</t>
  </si>
  <si>
    <t>14"SS OffSet T-Knife-Stiff w/Adpt</t>
  </si>
  <si>
    <t>5-387</t>
  </si>
  <si>
    <t>14"SS OffSet T-Knife-Flex w/Adpt</t>
  </si>
  <si>
    <t>5-388</t>
  </si>
  <si>
    <t>16"SS OffSet T-Knife-Stiff w/Adpt</t>
  </si>
  <si>
    <t>5-389</t>
  </si>
  <si>
    <t>16"SS OffSet T-Knife-Flex w/Adpt</t>
  </si>
  <si>
    <t>5-390</t>
  </si>
  <si>
    <t>18"SS OffSet T-Knife-Stiff w/Adpt</t>
  </si>
  <si>
    <t>5-391</t>
  </si>
  <si>
    <t>18"SS OffSet T-Knife-Flex w/Adpt</t>
  </si>
  <si>
    <t>5-392</t>
  </si>
  <si>
    <t>Offset Knife Adpt</t>
  </si>
  <si>
    <t>5-512</t>
  </si>
  <si>
    <t>12" SS Taping Knife Composite Hndl</t>
  </si>
  <si>
    <t>5-514</t>
  </si>
  <si>
    <t>14" SS Taping Knife Composite Hndl</t>
  </si>
  <si>
    <t>5-516</t>
  </si>
  <si>
    <t>6" SS Taping Knife Composite Hndl</t>
  </si>
  <si>
    <t>5-518</t>
  </si>
  <si>
    <t>8" SS Taping Knife Composite Hndl</t>
  </si>
  <si>
    <t>5-520</t>
  </si>
  <si>
    <t>10" SS Taping Knife Composite Hndl</t>
  </si>
  <si>
    <t>DXTT-2-945</t>
  </si>
  <si>
    <t>DXTT-3-139</t>
  </si>
  <si>
    <t>DXTT-3-140</t>
  </si>
  <si>
    <t>DXTT-3-149</t>
  </si>
  <si>
    <t>DXTT-3-171</t>
  </si>
  <si>
    <t>DXTT-3-172</t>
  </si>
  <si>
    <t>DXTT-3-174</t>
  </si>
  <si>
    <t>DXTT-3-201</t>
  </si>
  <si>
    <t>DXTT-3-203</t>
  </si>
  <si>
    <t>DXTT-3-610</t>
  </si>
  <si>
    <t>5-602</t>
  </si>
  <si>
    <t>SS Joint Knife Set</t>
  </si>
  <si>
    <t>5-603</t>
  </si>
  <si>
    <t>CS Joint Knife Set</t>
  </si>
  <si>
    <t>5-605</t>
  </si>
  <si>
    <t>BS Taping Knife Set</t>
  </si>
  <si>
    <t>5-620</t>
  </si>
  <si>
    <t>3PC SS Joint Knife Sft Grp Set</t>
  </si>
  <si>
    <t>5-623</t>
  </si>
  <si>
    <t>Deluxe SS Hand Tool Set</t>
  </si>
  <si>
    <t>5-651</t>
  </si>
  <si>
    <t>3PC SS J-Knife Sft Grp BlisterPK</t>
  </si>
  <si>
    <t>5-504</t>
  </si>
  <si>
    <t>5-505</t>
  </si>
  <si>
    <t>5-506</t>
  </si>
  <si>
    <t>4" SS Joint Knife Composite Hndl</t>
  </si>
  <si>
    <t>5" SS Joint Knife Composite Hndl</t>
  </si>
  <si>
    <t>6" SS Joint Knife Composite Hndl</t>
  </si>
  <si>
    <t xml:space="preserve">
Order Quantity</t>
  </si>
  <si>
    <t>7"Skimming Blade</t>
  </si>
  <si>
    <t>10"Skimming Blade</t>
  </si>
  <si>
    <t>14"Skimming Blade</t>
  </si>
  <si>
    <t>16"Skimming Blade</t>
  </si>
  <si>
    <t>24"Skimming Blade</t>
  </si>
  <si>
    <t>32"Skimming Blade</t>
  </si>
  <si>
    <t>40"Skimming Blade</t>
  </si>
  <si>
    <t>Skimming Blade Adapter</t>
  </si>
  <si>
    <t>37"-63"Skimming Blade Ext Hndl</t>
  </si>
  <si>
    <t xml:space="preserve">48"-87"Skimming Blade Ext Hndl </t>
  </si>
  <si>
    <t>48"Skimming Blade</t>
  </si>
  <si>
    <t>7"Skimming Blade Insert</t>
  </si>
  <si>
    <t>14"Skimming Blade Insert</t>
  </si>
  <si>
    <t>10"Skimming Blade Insert</t>
  </si>
  <si>
    <t>16"Skimming Blade Insert</t>
  </si>
  <si>
    <t>24"Skimming Blade Insert</t>
  </si>
  <si>
    <t>32"Skimming Blade Insert</t>
  </si>
  <si>
    <t>40"Skimming Blade Insert</t>
  </si>
  <si>
    <t>48"Skimming Blade Insert</t>
  </si>
  <si>
    <t>Skimming Blade End Caps</t>
  </si>
  <si>
    <t>11.5"SS Flat Trowel .7mm</t>
  </si>
  <si>
    <t>12"SS Flat Trowel .7mm</t>
  </si>
  <si>
    <t>14"SS Flat Trowel .7mm</t>
  </si>
  <si>
    <t>16"SS Flat Trowel .7mm</t>
  </si>
  <si>
    <t>18"SS Flat Trowel .7mm</t>
  </si>
  <si>
    <t xml:space="preserve">12"SS Curved Trowel .7mm </t>
  </si>
  <si>
    <t>14"SS Curved Trowel .7mm</t>
  </si>
  <si>
    <t>16"SS Curved Trowel .7mm</t>
  </si>
  <si>
    <t>12"SS Curved Pro Flex Trowel .5mm</t>
  </si>
  <si>
    <t>14"SS Curved Pro Flex Trowel .5mm</t>
  </si>
  <si>
    <t>6"Jab Saw-Sft Grp Hndl</t>
  </si>
  <si>
    <t>6"BS Taping Knife-Sft Grp Hndl</t>
  </si>
  <si>
    <t>8"BS Taping Knife-Sft Grp Hndl</t>
  </si>
  <si>
    <t>10"BS Taping Knife-Sft Grp Hndl</t>
  </si>
  <si>
    <t>12"BS Taping Knife-Sft Grp Hndl</t>
  </si>
  <si>
    <t>14"BS Taping Knife-Sft Grp Hndl</t>
  </si>
  <si>
    <t>8"SS Taping Knife-Sft Grp Hndl</t>
  </si>
  <si>
    <t>10"SS Taping Knife-Sft Grp Hndl</t>
  </si>
  <si>
    <t>12"SS Taping Knife-Sft Grp Hndl</t>
  </si>
  <si>
    <t>14"SS Taping Knife-Sft Grp Hndl</t>
  </si>
  <si>
    <t>3"SS Joint Knife-Sft Grp Hndl</t>
  </si>
  <si>
    <t>4"SS Joint Knife-Sft Grp Hndl</t>
  </si>
  <si>
    <t>5"SS Joint Knife-Sft Grp Hndl</t>
  </si>
  <si>
    <t>6"SS Joint Knife-Sft Grp Hndl</t>
  </si>
  <si>
    <t>8"SS Joint Knife-Sft Grp Hndl</t>
  </si>
  <si>
    <t>10"SS Joint Knife-Sft Grp Hndl</t>
  </si>
  <si>
    <t>3"CS Joint Knife-Sft Grp Hndl</t>
  </si>
  <si>
    <t>4"CS Joint Knife-Sft Grp Hndl</t>
  </si>
  <si>
    <t>5"CS Joint Knife-Sft Grp Hndl</t>
  </si>
  <si>
    <t>6"CS Joint Knife-Sft Grp Hndl</t>
  </si>
  <si>
    <t>8"CS Joint Knife-Sft Grp Hndl</t>
  </si>
  <si>
    <t>10"CS Joint Knife-Sft Grp Hndl</t>
  </si>
  <si>
    <t>8"BS BG BK T-Knife-Sft Grp Hndl</t>
  </si>
  <si>
    <t>10"BS BG BK T-Knife-Sft Grp Hndl</t>
  </si>
  <si>
    <t>12"BS BG BK T-Knife-Sft Grp Hndl</t>
  </si>
  <si>
    <t>14"BS BG BK T-Knife-Sft Grp Hndl</t>
  </si>
  <si>
    <t>16"BS BG BK T-Knife-Sft Grp Hndl</t>
  </si>
  <si>
    <t>8"SS BG BK T-Knife-Sft Grp Hndl</t>
  </si>
  <si>
    <t>10"SS BG BK T-Knife-Sft Grp Hndl</t>
  </si>
  <si>
    <t>12"SS BG BK T-Knife-Sft Grp Hndl</t>
  </si>
  <si>
    <t>14"SS BG BK T-Knife-Sft Grp Hndl</t>
  </si>
  <si>
    <t>16"SS BG BK T-Knife-Sft Grp Hndl</t>
  </si>
  <si>
    <t>9-in-1 Tool-Sft Grp Hndl</t>
  </si>
  <si>
    <t>SS Clipped Knife-Sft Grp Hndl</t>
  </si>
  <si>
    <t>SS Pointed Knife -Sft Grp Hndl</t>
  </si>
  <si>
    <t>6"SS Bucket Scoop</t>
  </si>
  <si>
    <t xml:space="preserve">Mixer 7" Head 32" Shaft </t>
  </si>
  <si>
    <t>Mixer 2" Head 13" Shaft</t>
  </si>
  <si>
    <t>Mixer 4" Head 28" Shaft</t>
  </si>
  <si>
    <t>Mixer Adaptor-w/HexKey</t>
  </si>
  <si>
    <t xml:space="preserve">4"x3.5"SS Corner Trowel-Sft Grp </t>
  </si>
  <si>
    <t xml:space="preserve">6.5"x11.5"SS Corner Trowel-Sft Grp </t>
  </si>
  <si>
    <t>4"x3.5"SS Corner Trowel-Sft Grp</t>
  </si>
  <si>
    <t>Hawk 13" x 13"</t>
  </si>
  <si>
    <t xml:space="preserve">12"SS Mud Pan </t>
  </si>
  <si>
    <t xml:space="preserve">14"SS Mud Pan </t>
  </si>
  <si>
    <t xml:space="preserve">16"SS Mud Pan </t>
  </si>
  <si>
    <t>1.5"SS Joint Knife Welded Hndl</t>
  </si>
  <si>
    <t>2"SS Joint Knife Welded Hndl</t>
  </si>
  <si>
    <t>3"SS Joint Knife Welded Hndl</t>
  </si>
  <si>
    <t>4"SS Joint Knife Welded Hndl</t>
  </si>
  <si>
    <t>5"SS Joint Knife Welded Hndl</t>
  </si>
  <si>
    <t>6"SS Joint Knife Welded Hndl</t>
  </si>
  <si>
    <t>8"SS Joint Knife Welded Hndl</t>
  </si>
  <si>
    <t>10"SS Joint Knife Welded Hndl</t>
  </si>
  <si>
    <t>Welded Joint Knife Grips 5Pk</t>
  </si>
  <si>
    <t>TAPER PARTS</t>
  </si>
  <si>
    <t>PUMP PARTS</t>
  </si>
  <si>
    <t>BOX PARTS</t>
  </si>
  <si>
    <t>Nylon Bearing-Straight</t>
  </si>
  <si>
    <t>10" Clamp Assembly Classic Box</t>
  </si>
  <si>
    <t>CORNER FINISHER PARTS</t>
  </si>
  <si>
    <t>APPLICATOR PARTS</t>
  </si>
  <si>
    <t>Corner Applicator Bracket</t>
  </si>
  <si>
    <t>EXT BOX HANDLE PARTS</t>
  </si>
  <si>
    <t>EXT Box Handle Brake Assembly</t>
  </si>
  <si>
    <t>ACC. HANDLE PARTS</t>
  </si>
  <si>
    <t>NAIL SPOTTER PARTS</t>
  </si>
  <si>
    <t>MUDSHOT PARTS</t>
  </si>
  <si>
    <t>4-802</t>
  </si>
  <si>
    <t>Ext. Box Handle Brake Assembly</t>
  </si>
  <si>
    <t>4-803</t>
  </si>
  <si>
    <t>Cleaning Kit</t>
  </si>
  <si>
    <t>4-865</t>
  </si>
  <si>
    <t>14" Flat Box Axle Assembly</t>
  </si>
  <si>
    <t>4-866</t>
  </si>
  <si>
    <t>14" Box Blades (5 Packs)</t>
  </si>
  <si>
    <t>4-867</t>
  </si>
  <si>
    <t>14" Flat Box Repair Kit</t>
  </si>
  <si>
    <t>4-868</t>
  </si>
  <si>
    <t>14" Flat Box Gasket</t>
  </si>
  <si>
    <t>4-869</t>
  </si>
  <si>
    <t>14" Flat Box Blade Holder Assembly</t>
  </si>
  <si>
    <t>DXTT-2-801</t>
  </si>
  <si>
    <t>DW Pump Rebuild Kit</t>
  </si>
  <si>
    <t>DXTT-2-805</t>
  </si>
  <si>
    <t>DW 7"Flat Box Seal</t>
  </si>
  <si>
    <t>DXTT-2-806</t>
  </si>
  <si>
    <t>DW 10"Flat Box Seal</t>
  </si>
  <si>
    <t>DXTT-2-807</t>
  </si>
  <si>
    <t>DW 12"Flat Box Seal</t>
  </si>
  <si>
    <t>5-440C</t>
  </si>
  <si>
    <t>5-441C</t>
  </si>
  <si>
    <t>10",24",32"CSkim Set w/Ext Hndl+Adpt</t>
  </si>
  <si>
    <t>5-451</t>
  </si>
  <si>
    <t>4-624P</t>
  </si>
  <si>
    <t>MEGA BX Tap-Fin Set w/Fixed Hndls-P</t>
  </si>
  <si>
    <t>4-901</t>
  </si>
  <si>
    <t>9"Mud Roller</t>
  </si>
  <si>
    <t>4-902</t>
  </si>
  <si>
    <t>12"Mud Roller</t>
  </si>
  <si>
    <t>4-905</t>
  </si>
  <si>
    <t>9"Mud Roller w/Frame</t>
  </si>
  <si>
    <t>4-906</t>
  </si>
  <si>
    <t>12"Mud Roller w/Frame</t>
  </si>
  <si>
    <t>4-910C</t>
  </si>
  <si>
    <t>10"Composite Skimming Blade</t>
  </si>
  <si>
    <t>4-914C</t>
  </si>
  <si>
    <t>14"Composite Skimming Blade</t>
  </si>
  <si>
    <t>4-916C</t>
  </si>
  <si>
    <t>16"Composite Skimming Blade</t>
  </si>
  <si>
    <t>4-924C</t>
  </si>
  <si>
    <t>24"Composite Skimming Blade</t>
  </si>
  <si>
    <t>4-932C</t>
  </si>
  <si>
    <t>32" Composite Skimming Blade</t>
  </si>
  <si>
    <t>4-945</t>
  </si>
  <si>
    <t>37"-63"Skimming Blade Hcdle w/Adpt</t>
  </si>
  <si>
    <t>DXTT-2-420</t>
  </si>
  <si>
    <t>DXTT-2-421</t>
  </si>
  <si>
    <t>DXTT-2-422</t>
  </si>
  <si>
    <t>DXTT-2-423</t>
  </si>
  <si>
    <t>DXTT-2-957</t>
  </si>
  <si>
    <t>5-653</t>
  </si>
  <si>
    <t>3PC SS J-Knife Welded Hndl BlisterPK</t>
  </si>
  <si>
    <t>Filler Body</t>
  </si>
  <si>
    <t>4-772</t>
  </si>
  <si>
    <t>Mini-Shot Compound Dispenser</t>
  </si>
  <si>
    <t>4-950C</t>
  </si>
  <si>
    <t>14" Composite Skimming Blade Insert</t>
  </si>
  <si>
    <t>4-951C</t>
  </si>
  <si>
    <t>10" Composite Skimming Blade Insert</t>
  </si>
  <si>
    <t>4-952C</t>
  </si>
  <si>
    <t>16" Composite Skimming Blade Insert</t>
  </si>
  <si>
    <t>4-953C</t>
  </si>
  <si>
    <t>24" Composite Skimming Blade Insert</t>
  </si>
  <si>
    <t>4-954C</t>
  </si>
  <si>
    <t>32" Composite Skimming Blade Insert</t>
  </si>
  <si>
    <t>4-965</t>
  </si>
  <si>
    <t xml:space="preserve">12" SS Flat Flex Trowel 0.4x100mm </t>
  </si>
  <si>
    <t>4-966</t>
  </si>
  <si>
    <t xml:space="preserve">14" SS Flat Flex Trowel 0.4x100mm </t>
  </si>
  <si>
    <t>4-967</t>
  </si>
  <si>
    <t xml:space="preserve">16" SS Flat Flex Trowel 0.4x100mm </t>
  </si>
  <si>
    <t>4-974</t>
  </si>
  <si>
    <t xml:space="preserve">12" SS Flat Flex Trowel 0.4x120mm </t>
  </si>
  <si>
    <t>4-975</t>
  </si>
  <si>
    <t xml:space="preserve">14" SS Flat Flex Trowel 0.4x120mm </t>
  </si>
  <si>
    <t>4-976</t>
  </si>
  <si>
    <t xml:space="preserve">16" SS Flat Flex Trowel 0.4x120mm </t>
  </si>
  <si>
    <t>4-994</t>
  </si>
  <si>
    <t>12" SS Flat UltraFlex Trowel 0.3x100mm</t>
  </si>
  <si>
    <t>4-995</t>
  </si>
  <si>
    <t>14" SS Flat UltraFlex Trowel 0.3x100mm</t>
  </si>
  <si>
    <t>4-996</t>
  </si>
  <si>
    <t>16" SS Flat UltraFlex Trowel 0.3x100mm</t>
  </si>
  <si>
    <t>5-412</t>
  </si>
  <si>
    <t>4" SS Stretch Joint Knife Welded Hndl</t>
  </si>
  <si>
    <t>5-413</t>
  </si>
  <si>
    <t>5" SS Stretch Joint Knife Welded Hndl</t>
  </si>
  <si>
    <t>5-414</t>
  </si>
  <si>
    <t xml:space="preserve">6" SS Stretch Joint Knife Welded Hndl </t>
  </si>
  <si>
    <t>5-415</t>
  </si>
  <si>
    <t xml:space="preserve">8" SS Stretch Joint Knife Welded Hndl </t>
  </si>
  <si>
    <t>DXTT-2-965</t>
  </si>
  <si>
    <t>DXTT-2-966</t>
  </si>
  <si>
    <t>DXTT-2-967</t>
  </si>
  <si>
    <t>DXTT-2-974</t>
  </si>
  <si>
    <t>DXTT-2-975</t>
  </si>
  <si>
    <t>DXTT-2-976</t>
  </si>
  <si>
    <t>DXTT-2-994</t>
  </si>
  <si>
    <t>DXTT-2-995</t>
  </si>
  <si>
    <t>DXTT-2-996</t>
  </si>
  <si>
    <t>7"Corner Applicator (2G)</t>
  </si>
  <si>
    <t>8"Corner Applicator (2G)</t>
  </si>
  <si>
    <t>Corner Roller (2G)</t>
  </si>
  <si>
    <t>4-741</t>
  </si>
  <si>
    <t xml:space="preserve">Comound Tube 42" </t>
  </si>
  <si>
    <t>4-748</t>
  </si>
  <si>
    <t xml:space="preserve">2"Nail Spotter (2G) </t>
  </si>
  <si>
    <t xml:space="preserve">3"Nail Spotter (2G) </t>
  </si>
  <si>
    <t xml:space="preserve">Automatic Drywall Taper (2G) </t>
  </si>
  <si>
    <t xml:space="preserve">7"Standard Flat Box (2G) </t>
  </si>
  <si>
    <t>10"Standard Flat Box (2G)</t>
  </si>
  <si>
    <t>12"Standard Flat Box (2G)</t>
  </si>
  <si>
    <t xml:space="preserve">7"MEGA Flat Box (2G) </t>
  </si>
  <si>
    <t xml:space="preserve">10"MEGA Flat Box (2G) </t>
  </si>
  <si>
    <t xml:space="preserve">12"MEGA Flat Box (2G) </t>
  </si>
  <si>
    <t xml:space="preserve">14"Standard Flat Box (2G) </t>
  </si>
  <si>
    <t xml:space="preserve">Compound Pump w/Filler (2G) </t>
  </si>
  <si>
    <t xml:space="preserve">Banjo </t>
  </si>
  <si>
    <t>4-650</t>
  </si>
  <si>
    <t xml:space="preserve">Starter Set w/Banjo </t>
  </si>
  <si>
    <t>5-360</t>
  </si>
  <si>
    <t xml:space="preserve">20" Laptop Style Tool Bag </t>
  </si>
  <si>
    <t>5-362</t>
  </si>
  <si>
    <t xml:space="preserve">24" Duffle Style Tool Bag </t>
  </si>
  <si>
    <t>4" Blade-Corner Finisher</t>
  </si>
  <si>
    <t>Corner Applicator Cone</t>
  </si>
  <si>
    <t xml:space="preserve">MudShot Plunger  </t>
  </si>
  <si>
    <t>7" Flat Box Repair Kit</t>
  </si>
  <si>
    <t>10" Flat Box Repair Kit</t>
  </si>
  <si>
    <t>12" Flat Box Repair Kit</t>
  </si>
  <si>
    <t>DXTT-3-701</t>
  </si>
  <si>
    <t xml:space="preserve">8" x 3" CS Finish Trowel </t>
  </si>
  <si>
    <t>DXTT-3-702</t>
  </si>
  <si>
    <t xml:space="preserve">12" x 4" CS Finish Trowel </t>
  </si>
  <si>
    <t>DXTT-3-703</t>
  </si>
  <si>
    <t xml:space="preserve">14" x 4" CS Finish Trowel </t>
  </si>
  <si>
    <t>DXTT-3-704</t>
  </si>
  <si>
    <t xml:space="preserve">16" x 4" CS Finish Trowel </t>
  </si>
  <si>
    <t>DXTT-3-705</t>
  </si>
  <si>
    <t xml:space="preserve">18" x 4" CS Finish Trowel </t>
  </si>
  <si>
    <t>DXTT-3-709</t>
  </si>
  <si>
    <t xml:space="preserve">16" x 4" CS Round Front Square End Finish Trowel </t>
  </si>
  <si>
    <t>DXTT-3-721</t>
  </si>
  <si>
    <t xml:space="preserve">16" x 4.5" SS Pool Trowel </t>
  </si>
  <si>
    <t>DXTT-3-722</t>
  </si>
  <si>
    <t xml:space="preserve">14" x 4" SS Pool Trowel </t>
  </si>
  <si>
    <t>DXTT-3-723</t>
  </si>
  <si>
    <t xml:space="preserve">10" x 3" SS Pool Trowel </t>
  </si>
  <si>
    <t>DXTT-3-730</t>
  </si>
  <si>
    <t xml:space="preserve">16" x 3 1/8" Magnesium Float </t>
  </si>
  <si>
    <t>DXTT-3-741</t>
  </si>
  <si>
    <t>6" x 3" SS Groover</t>
  </si>
  <si>
    <t>DXTT-3-745</t>
  </si>
  <si>
    <t>6" x 4" SS Edger</t>
  </si>
  <si>
    <t>DXTT-3-750</t>
  </si>
  <si>
    <t xml:space="preserve">10" x 4 5/8" Large London Brick Trowel </t>
  </si>
  <si>
    <t>DXTT-3-751</t>
  </si>
  <si>
    <t xml:space="preserve">11.5" x 5" Large London Brick Trowel </t>
  </si>
  <si>
    <t>DXTT-3-753</t>
  </si>
  <si>
    <t xml:space="preserve">5" x 2.5" Pointing Trowel </t>
  </si>
  <si>
    <t>DXTT-3-754</t>
  </si>
  <si>
    <t xml:space="preserve">6" x 2.75" Pointing Trowel </t>
  </si>
  <si>
    <t>DXTT-3-756</t>
  </si>
  <si>
    <t xml:space="preserve">5" x 2" Margin Trowel </t>
  </si>
  <si>
    <t>DXTT-3-757</t>
  </si>
  <si>
    <t xml:space="preserve">6" x 2" Margin Trowel </t>
  </si>
  <si>
    <t>DXTT-3-758</t>
  </si>
  <si>
    <t xml:space="preserve">8" x 2" Margin Trowel </t>
  </si>
  <si>
    <t>DXTT-3-759</t>
  </si>
  <si>
    <t xml:space="preserve">7" Gauging Trowel </t>
  </si>
  <si>
    <t>DXTT-3-770</t>
  </si>
  <si>
    <t xml:space="preserve">13" x 5" SS Stucco Trowel </t>
  </si>
  <si>
    <t>Brand</t>
  </si>
  <si>
    <t>Product Group</t>
  </si>
  <si>
    <t>Product Type</t>
  </si>
  <si>
    <t>DEWALT 16 x 3 1/8" Mag Float</t>
  </si>
  <si>
    <t>DEWALT</t>
  </si>
  <si>
    <t>Concrete Hand Tools</t>
  </si>
  <si>
    <t>Concrete Floats</t>
  </si>
  <si>
    <t>DEWALT 6 x 4" SS Edger</t>
  </si>
  <si>
    <t>Edgers</t>
  </si>
  <si>
    <t>DEWALT 8 x 3" Finishing Trowel</t>
  </si>
  <si>
    <t>Finishing Trowels</t>
  </si>
  <si>
    <t>DEWALT 12 x 4" Finishing Trowel</t>
  </si>
  <si>
    <t>DEWALT 14 x 4" Finishing Trowel</t>
  </si>
  <si>
    <t>DEWALT 16 x 4" Finishing Trowel</t>
  </si>
  <si>
    <t>DEWALT 18" x 4" Finishing Trowel</t>
  </si>
  <si>
    <t>DEWALT 16" x 4" Round Front; Square Tail Finishing Trowel</t>
  </si>
  <si>
    <t>DEWALT 7" Gauging Trowel</t>
  </si>
  <si>
    <t>Gauging Trowels</t>
  </si>
  <si>
    <t>DEWALT 6 x 3" SS Groover</t>
  </si>
  <si>
    <t>Groovers</t>
  </si>
  <si>
    <t>DEWALT 10 x 4 5/8" London Brick Trowel</t>
  </si>
  <si>
    <t>London Trowels</t>
  </si>
  <si>
    <t>DEWALT 11.5" x 5" London Brick Trowel</t>
  </si>
  <si>
    <t>DEWALT 5 x 2" Margin Trowel</t>
  </si>
  <si>
    <t>Margin Trowels</t>
  </si>
  <si>
    <t>DEWALT 6 x 2" Margin Trowel</t>
  </si>
  <si>
    <t>DEWALT 8 x 2" Margin Trowel</t>
  </si>
  <si>
    <t>DEWALT 5 x 2 1/2" Pointing Trowel</t>
  </si>
  <si>
    <t>Pointing Trowels</t>
  </si>
  <si>
    <t>DEWALT 6 x 2 3/4" Pointing Trowel</t>
  </si>
  <si>
    <t>DEWALT 16 x 4.5" SS Pool Trowel</t>
  </si>
  <si>
    <t>Pool Trowels</t>
  </si>
  <si>
    <t>DEWALT 14" x 4" Stainless Steel Pool Trowel</t>
  </si>
  <si>
    <t>DEWALT 10 x 3" SS Pool Trowel</t>
  </si>
  <si>
    <t>DEWALT 13 x 5" SS Gold Stucco Trowel</t>
  </si>
  <si>
    <t>Stucco Trowels</t>
  </si>
  <si>
    <t>DEWALT 7"Corner Applicator</t>
  </si>
  <si>
    <t>Drywall Auto Tools</t>
  </si>
  <si>
    <t>Applicator Boxes</t>
  </si>
  <si>
    <t>7"Corner Applicator</t>
  </si>
  <si>
    <t>LEVEL5</t>
  </si>
  <si>
    <t>8"Corner Applicator</t>
  </si>
  <si>
    <t>DEWALT Automatic Drywall Taper</t>
  </si>
  <si>
    <t>Auto Tapers</t>
  </si>
  <si>
    <t>Automatic Drywall Taper</t>
  </si>
  <si>
    <t>DEWALT MudShot</t>
  </si>
  <si>
    <t>Compound Dispensers</t>
  </si>
  <si>
    <t>4-749</t>
  </si>
  <si>
    <t>CT Box Filler Attachment</t>
  </si>
  <si>
    <t>MINI-Shot Compound Dispenser</t>
  </si>
  <si>
    <t>DEWALT Flat Box Filler</t>
  </si>
  <si>
    <t>Compound Pumps</t>
  </si>
  <si>
    <t>DeWalt Joint Compound Pump/Filler/Wrench</t>
  </si>
  <si>
    <t>Flat Box Filler</t>
  </si>
  <si>
    <t>Compound Pump</t>
  </si>
  <si>
    <t>DEWALT 2.5"Corner Finisher</t>
  </si>
  <si>
    <t>Corner Finishers</t>
  </si>
  <si>
    <t>DEWALT 3" Corner Finisher</t>
  </si>
  <si>
    <t>DEWALT 3.5" Corner Finisher</t>
  </si>
  <si>
    <t>DEWALT 4" Corner Finisher</t>
  </si>
  <si>
    <t>3"Corner Finisher</t>
  </si>
  <si>
    <t>3.5"Corner Finisher</t>
  </si>
  <si>
    <t>4"Corner Finisher</t>
  </si>
  <si>
    <t>DEWALT 7"Standard Flat Box</t>
  </si>
  <si>
    <t>Flat Boxes</t>
  </si>
  <si>
    <t>DEWALT 10"Standard Flat Box</t>
  </si>
  <si>
    <t>DEWALT 12"Standard Flat Box</t>
  </si>
  <si>
    <t>DEWALT 7"MEGA Flat Box</t>
  </si>
  <si>
    <t>DEWALT 10"MEGA Flat Box</t>
  </si>
  <si>
    <t>DEWALT 12"MEGA Flat Box</t>
  </si>
  <si>
    <t>DEWALT 14"Standard Flat Box</t>
  </si>
  <si>
    <t>7"Standard Flat Box</t>
  </si>
  <si>
    <t>10"Standard Flat Box</t>
  </si>
  <si>
    <t>12"Standard Flat Box</t>
  </si>
  <si>
    <t>7"MEGA Flat Box</t>
  </si>
  <si>
    <t>10"MEGA Flat Box</t>
  </si>
  <si>
    <t>12"MEGA Flat Box</t>
  </si>
  <si>
    <t>14"Standard Flat Box</t>
  </si>
  <si>
    <t>DEWALT Gooseneck</t>
  </si>
  <si>
    <t>DEWALT 48"- 78"Flat Box Ext Hndl</t>
  </si>
  <si>
    <t>Handles</t>
  </si>
  <si>
    <t>DEWALT 18" MS Ext Hndl</t>
  </si>
  <si>
    <t>DEWALT 40"-62"Flat Box Ext Hndl</t>
  </si>
  <si>
    <t>DEWALT 30"-42"Flat Box Ext Hndl</t>
  </si>
  <si>
    <t>DEWALT 23"-32"Flat Box Ext Hndl</t>
  </si>
  <si>
    <t>DEWALT 36"-52"Corner Roller Ext Hndl</t>
  </si>
  <si>
    <t>DEWALT 40"-58"Corner Applicator Ext Hndl</t>
  </si>
  <si>
    <t>DEWALT 39"-57"Corner Finisher Ext Hndl</t>
  </si>
  <si>
    <t>DEWALT 47"-77"Corner Roller Ext Hndl</t>
  </si>
  <si>
    <t>DEWALT 47"-77"Corner Applicator Ext Hndl</t>
  </si>
  <si>
    <t>DEWALT 50"-80"Corner Finisher Ext Hndl</t>
  </si>
  <si>
    <t>DEWALT Corner Roller Head</t>
  </si>
  <si>
    <t>DEWALT Corner Applicator Head</t>
  </si>
  <si>
    <t>DEWALT Corner Finisher Head</t>
  </si>
  <si>
    <t>DEWALT 39"-57"Ext Hndl-no head</t>
  </si>
  <si>
    <t>DEWALT 47"-77"Ext Hndl-no head</t>
  </si>
  <si>
    <t>4-756</t>
  </si>
  <si>
    <t>57"Nail Spotter Fixed Hndl</t>
  </si>
  <si>
    <t>4-757</t>
  </si>
  <si>
    <t>36"-54"Nail Spotter Ext Hndl</t>
  </si>
  <si>
    <t>4-758</t>
  </si>
  <si>
    <t>47"- 77"Nail Spotter Ext Hndl</t>
  </si>
  <si>
    <t>4-773</t>
  </si>
  <si>
    <t>Mini-Shot 18" Ext Hndl</t>
  </si>
  <si>
    <t>50"N Spotter/C Roller Fixed Hndl</t>
  </si>
  <si>
    <t>36"-52"N Spotter/C Roller Ext Hndl</t>
  </si>
  <si>
    <t>47"-77"N Spotter/C Roller Ext Hndl</t>
  </si>
  <si>
    <t>DEWALT 90° Inside Corner Roller</t>
  </si>
  <si>
    <t>Inside Corner Rollers</t>
  </si>
  <si>
    <t>90° Inside Corner Roller</t>
  </si>
  <si>
    <t>DXTT-2-754</t>
  </si>
  <si>
    <t xml:space="preserve">DEWALT 2" Nail Spotter </t>
  </si>
  <si>
    <t>Nail Spotters</t>
  </si>
  <si>
    <t>DXTT-2-755</t>
  </si>
  <si>
    <t xml:space="preserve">DEWALT 3" Nail Spotter </t>
  </si>
  <si>
    <t>2"Nail Spotter</t>
  </si>
  <si>
    <t>3"Nail Spotter</t>
  </si>
  <si>
    <t>4-875</t>
  </si>
  <si>
    <t>Nail Spotter Head</t>
  </si>
  <si>
    <t>4-746</t>
  </si>
  <si>
    <t>Outside Corner Bead Mud Applicator</t>
  </si>
  <si>
    <t>Outside Applicator Head</t>
  </si>
  <si>
    <t>90° Outside Corner Applicator Head</t>
  </si>
  <si>
    <t>DXTT-1101</t>
  </si>
  <si>
    <t>Extension O'Ring</t>
  </si>
  <si>
    <t>Parts</t>
  </si>
  <si>
    <t>DXTT-1102</t>
  </si>
  <si>
    <t>Screw 8-32 x 6</t>
  </si>
  <si>
    <t>DXTT-1103</t>
  </si>
  <si>
    <t>Screw 8-32 x 9.4</t>
  </si>
  <si>
    <t>DXTT-1107</t>
  </si>
  <si>
    <t>Screw 6-32 x 7</t>
  </si>
  <si>
    <t>DXTT-1108</t>
  </si>
  <si>
    <t>Base</t>
  </si>
  <si>
    <t>DXTT-1110</t>
  </si>
  <si>
    <t>Screw 6-32 x 10.7</t>
  </si>
  <si>
    <t>DXTT-1113</t>
  </si>
  <si>
    <t>Clear Tube</t>
  </si>
  <si>
    <t>DXTT-1116</t>
  </si>
  <si>
    <t>Mudshot Latch</t>
  </si>
  <si>
    <t>DXTT-1118</t>
  </si>
  <si>
    <t>Filler Valve Stem</t>
  </si>
  <si>
    <t>DXTT-1119</t>
  </si>
  <si>
    <t>Filler Valve Outlet</t>
  </si>
  <si>
    <t>DXTT-1120</t>
  </si>
  <si>
    <t>Filler Spring</t>
  </si>
  <si>
    <t>DXTT-1121</t>
  </si>
  <si>
    <t>Nut 6-32</t>
  </si>
  <si>
    <t>DXTT-1124</t>
  </si>
  <si>
    <t>Set Screw 6-32x7.9</t>
  </si>
  <si>
    <t>DXTT-1128</t>
  </si>
  <si>
    <t>DXTT-1130</t>
  </si>
  <si>
    <t>Mudshot nozzle Assembly</t>
  </si>
  <si>
    <t>MudShot Plunger</t>
  </si>
  <si>
    <t>DXTT-1136</t>
  </si>
  <si>
    <t>316  SS Pan Head Slotted Screw</t>
  </si>
  <si>
    <t>DXTT-1138</t>
  </si>
  <si>
    <t>Mud Shot Cone Spring</t>
  </si>
  <si>
    <t>DXTT-1141</t>
  </si>
  <si>
    <t>Bracket for aMain Band Assembly</t>
  </si>
  <si>
    <t>DXTT-2405</t>
  </si>
  <si>
    <t>DEWALT Ext. Brake Handle Assembly</t>
  </si>
  <si>
    <t>10"Flat Box Seal</t>
  </si>
  <si>
    <t>4-811</t>
  </si>
  <si>
    <t>Cleaning Nozzles 2pk</t>
  </si>
  <si>
    <t>4-812</t>
  </si>
  <si>
    <t>Tape Jam Remover</t>
  </si>
  <si>
    <t>4-813</t>
  </si>
  <si>
    <t>Gooseneck Brush</t>
  </si>
  <si>
    <t>4-826</t>
  </si>
  <si>
    <t>Cover Plate Assembly</t>
  </si>
  <si>
    <t>7"Flat Box Axle Assembly</t>
  </si>
  <si>
    <t>10"Flat Box Axle Assembly</t>
  </si>
  <si>
    <t>12"Flat Box Axle Assembly</t>
  </si>
  <si>
    <t>5 Pack 7"Flat Box Blade</t>
  </si>
  <si>
    <t>5 Pack 10"Flat Box Blade</t>
  </si>
  <si>
    <t>5 Pack 12"Flat Box Blade</t>
  </si>
  <si>
    <t>7"Blade Holder  Assembly</t>
  </si>
  <si>
    <t>10"Blade Holder  Assembly</t>
  </si>
  <si>
    <t>12"Blade Holder Assembly</t>
  </si>
  <si>
    <t>4-863</t>
  </si>
  <si>
    <t>Pump Foot Valve Assembly</t>
  </si>
  <si>
    <t>Wiper Retainer</t>
  </si>
  <si>
    <t>4-40 Hex Nut</t>
  </si>
  <si>
    <t>6-32 x 5/16 Round Head Screw</t>
  </si>
  <si>
    <t>#6-32 x 1/4 Fillister Head</t>
  </si>
  <si>
    <t>#6 Lockwasher Medium</t>
  </si>
  <si>
    <t>#6-32 Thin Pattern Locknut</t>
  </si>
  <si>
    <t>Disengaging Cam</t>
  </si>
  <si>
    <t>6-32 x 3/8 Bind Head Screw</t>
  </si>
  <si>
    <t>Needle Spring</t>
  </si>
  <si>
    <t>Needle Holder Lock</t>
  </si>
  <si>
    <t>Magnet Assembly</t>
  </si>
  <si>
    <t>Disengaging Rod (shaft)</t>
  </si>
  <si>
    <t>Bracket Base</t>
  </si>
  <si>
    <t>4-40 x 1/4 Bind Head Screw</t>
  </si>
  <si>
    <t>#4 Lock Washer</t>
  </si>
  <si>
    <t>O'Ring Housing</t>
  </si>
  <si>
    <t>O'Ring</t>
  </si>
  <si>
    <t>Disengaging Rod Bearing</t>
  </si>
  <si>
    <t>Insert</t>
  </si>
  <si>
    <t>Chain Roller Support (Right)</t>
  </si>
  <si>
    <t>Baffle Plate Assembly</t>
  </si>
  <si>
    <t>Gooser Needle Holder</t>
  </si>
  <si>
    <t>6-32X3/16 Fillister Head Screw</t>
  </si>
  <si>
    <t>2-56 x 3/16 Bind Head Screw</t>
  </si>
  <si>
    <t>4-40 x3/16 Bind Head Screw</t>
  </si>
  <si>
    <t>Control Valve</t>
  </si>
  <si>
    <t>Filler Valve Assembly</t>
  </si>
  <si>
    <t>3-48 Lock Nut</t>
  </si>
  <si>
    <t>Valve Spring</t>
  </si>
  <si>
    <t>Valve Assembly</t>
  </si>
  <si>
    <t>Key Ring</t>
  </si>
  <si>
    <t>Gooser &amp; Cutter Chain</t>
  </si>
  <si>
    <t>Axle Creaser Wheel</t>
  </si>
  <si>
    <t>Drive Dog Screw 8-32</t>
  </si>
  <si>
    <t>Creaser Crank</t>
  </si>
  <si>
    <t>8-32 x 1/4 FH Screw</t>
  </si>
  <si>
    <t>Bushing, Head</t>
  </si>
  <si>
    <t>3-48 Miniature Hex Nut</t>
  </si>
  <si>
    <t>Taper Wheel Spool</t>
  </si>
  <si>
    <t>Bushing Head</t>
  </si>
  <si>
    <t>Tape Guide Assembly</t>
  </si>
  <si>
    <t>Drive hub</t>
  </si>
  <si>
    <t>Cutter Block Tube</t>
  </si>
  <si>
    <t>Drive Sprocket</t>
  </si>
  <si>
    <t>Taper Filler Tube Assembly</t>
  </si>
  <si>
    <t>Cable Drum Shaft</t>
  </si>
  <si>
    <t>8-32 x 5/8 TH Screw</t>
  </si>
  <si>
    <t>Cutter Block Clamp</t>
  </si>
  <si>
    <t>Tie Rod</t>
  </si>
  <si>
    <t>1/16 x 1/2" Cotter Pin  Fastenal  74268</t>
  </si>
  <si>
    <t>Cutter Chain Tube</t>
  </si>
  <si>
    <t>4-40 x 5/16 BH Screw- Fastenal 70657</t>
  </si>
  <si>
    <t>4-40 x 3/8 FH Screw  Fastenal 0170759</t>
  </si>
  <si>
    <t>Pumpball Screw</t>
  </si>
  <si>
    <t>Plunger</t>
  </si>
  <si>
    <t>4-40 x 6.3MM FLH Screw, Phillips</t>
  </si>
  <si>
    <t>Control Tube Roller</t>
  </si>
  <si>
    <t>Control Extension Arm</t>
  </si>
  <si>
    <t>Tape Roll Keeper</t>
  </si>
  <si>
    <t>Creaser Trigger</t>
  </si>
  <si>
    <t>Taper Tube</t>
  </si>
  <si>
    <t>S-Hook</t>
  </si>
  <si>
    <t>Tube Protector</t>
  </si>
  <si>
    <t>6-32 x 3/16 Round Head</t>
  </si>
  <si>
    <t>#10 Brass Washer</t>
  </si>
  <si>
    <t>#14 Brass Washer</t>
  </si>
  <si>
    <t>Insert Socket</t>
  </si>
  <si>
    <t>CF Slotted Screw 8-32 x 6.35</t>
  </si>
  <si>
    <t>Creaser Connector Assembly</t>
  </si>
  <si>
    <t>Trust Washer</t>
  </si>
  <si>
    <t>Roller Bushing</t>
  </si>
  <si>
    <t>1/4-20x1-1/4" HH Screw</t>
  </si>
  <si>
    <t>Swivel Axle</t>
  </si>
  <si>
    <t>7" Blade Holder Assembly</t>
  </si>
  <si>
    <t>Brass Pins</t>
  </si>
  <si>
    <t>#4-40 x 1/4 Fillister Head Screw</t>
  </si>
  <si>
    <t>Washer</t>
  </si>
  <si>
    <t>Dial Adjustment Nut</t>
  </si>
  <si>
    <t>Roller Wheel</t>
  </si>
  <si>
    <t>Taper Band Screw</t>
  </si>
  <si>
    <t>4-40 Lock Nut</t>
  </si>
  <si>
    <t>Dial Assembly</t>
  </si>
  <si>
    <t>10" Blade Holder Assembly</t>
  </si>
  <si>
    <t>7" Flat Box Axle</t>
  </si>
  <si>
    <t>12" Blade Holder Assembly</t>
  </si>
  <si>
    <t>Spring</t>
  </si>
  <si>
    <t>CF 6-32 X 1/4 Bind Head Screw SST</t>
  </si>
  <si>
    <t>Washer Retaining</t>
  </si>
  <si>
    <t>Piston Rod</t>
  </si>
  <si>
    <t>1/4-20 x 5/8 Socket Head Screw</t>
  </si>
  <si>
    <t>Retainer, Large</t>
  </si>
  <si>
    <t>3/8-16 Lock Nut</t>
  </si>
  <si>
    <t>Bushing Liner</t>
  </si>
  <si>
    <t>Handle Ball</t>
  </si>
  <si>
    <t>Hinged Flat Box Screw</t>
  </si>
  <si>
    <t>Cable Drum</t>
  </si>
  <si>
    <t>Retainer</t>
  </si>
  <si>
    <t>Lock Clip</t>
  </si>
  <si>
    <t>Gasket</t>
  </si>
  <si>
    <t>1/4-20x2 Hex Head Screw</t>
  </si>
  <si>
    <t>1/4-20 Lock Nut</t>
  </si>
  <si>
    <t>10-24 x 7/8 Round Head Screw</t>
  </si>
  <si>
    <t>Handle Grip Assembly</t>
  </si>
  <si>
    <t>Clevis Pin</t>
  </si>
  <si>
    <t>10" Rubber Hinge Pin Shim</t>
  </si>
  <si>
    <t>1/4 - 28 x 1/4 Socket Screw- McMaster 90289A351/43018N0100</t>
  </si>
  <si>
    <t>7" Hinged Flat Box Gasket</t>
  </si>
  <si>
    <t>10" Hinged Flat Box Gasket</t>
  </si>
  <si>
    <t>12" Hinged Flat Box Gasket</t>
  </si>
  <si>
    <t>14" Hinged Flat Box Gasket</t>
  </si>
  <si>
    <t>4-40 X 8mm FH Screw, Philips</t>
  </si>
  <si>
    <t>CR Plastic Bearing</t>
  </si>
  <si>
    <t>CR Metal Bearing</t>
  </si>
  <si>
    <t>CR Wheel</t>
  </si>
  <si>
    <t>02 Rubber</t>
  </si>
  <si>
    <t>10 Rubber</t>
  </si>
  <si>
    <t>Flat Black Rubber</t>
  </si>
  <si>
    <t>Mega Box Right Side Plate</t>
  </si>
  <si>
    <t>Wrench</t>
  </si>
  <si>
    <t>Black Plastic Washer (Link)</t>
  </si>
  <si>
    <t>Metal Link Washer</t>
  </si>
  <si>
    <t>Metal Washer</t>
  </si>
  <si>
    <t>Foot Valve Spacer</t>
  </si>
  <si>
    <t>Draw Latch Assembly</t>
  </si>
  <si>
    <t>Pump Tube, Red</t>
  </si>
  <si>
    <t>8-32 x 3/16 BH Screw</t>
  </si>
  <si>
    <t>E-Clip</t>
  </si>
  <si>
    <t>Plastic Clip</t>
  </si>
  <si>
    <t>Bottom Half Cover Plate Assembly</t>
  </si>
  <si>
    <t>CF Locking Clip Tab</t>
  </si>
  <si>
    <t>C.A. Rubber Shim</t>
  </si>
  <si>
    <t>Shoulder Screw</t>
  </si>
  <si>
    <t>Spring Washer</t>
  </si>
  <si>
    <t>Cleaning Nozzle w/ O'ring and Gasket</t>
  </si>
  <si>
    <t>C.T. Cone Assembly w/Ball</t>
  </si>
  <si>
    <t>C.T. Cone O'Ring</t>
  </si>
  <si>
    <t>C.T. Screw (#3)</t>
  </si>
  <si>
    <t>C.T. Metal Band</t>
  </si>
  <si>
    <t>C.T. Stopper O'Ring</t>
  </si>
  <si>
    <t>C.T. Plunger Cup</t>
  </si>
  <si>
    <t>NS Rubber Tire</t>
  </si>
  <si>
    <t>NS Wheel</t>
  </si>
  <si>
    <t>3"NS Wheel Axle</t>
  </si>
  <si>
    <t>Nail Spotter Washer</t>
  </si>
  <si>
    <t>NS Flat Plastic Washer</t>
  </si>
  <si>
    <t>Nail Spotter Screw</t>
  </si>
  <si>
    <t>NS Handle Attachment</t>
  </si>
  <si>
    <t>NS Clamp Roll PIn</t>
  </si>
  <si>
    <t>NS Thumb Screw</t>
  </si>
  <si>
    <t>NS Tension Clamp</t>
  </si>
  <si>
    <t>NS Attachment Arms</t>
  </si>
  <si>
    <t>NS Spring</t>
  </si>
  <si>
    <t>2"NS Gasket</t>
  </si>
  <si>
    <t>3"NS Gasket</t>
  </si>
  <si>
    <t>2"NS Blade</t>
  </si>
  <si>
    <t>3"NS Blade</t>
  </si>
  <si>
    <t>M.S. Ext. Handle Connector</t>
  </si>
  <si>
    <t>MiniShot Clear Tube</t>
  </si>
  <si>
    <t>Top Cone (Plastic Part Only)-White</t>
  </si>
  <si>
    <t>MiniShot Plastic Plunger</t>
  </si>
  <si>
    <t>MiniShot Red Piston Rod</t>
  </si>
  <si>
    <t>Mini Mudshot Gas Cylinder</t>
  </si>
  <si>
    <t>MiniShot Top Cone Assembly</t>
  </si>
  <si>
    <t>Locking Lever</t>
  </si>
  <si>
    <t>Connector Plate</t>
  </si>
  <si>
    <t>Connecting Rod Pin</t>
  </si>
  <si>
    <t>Brake Handle Plastic Bushing</t>
  </si>
  <si>
    <t>T-Nut</t>
  </si>
  <si>
    <t>#10-32 X1/2", BHC Screw</t>
  </si>
  <si>
    <t>Pressure Plate Ext. Spring</t>
  </si>
  <si>
    <t>8-32 X 1/2", BHC Screw</t>
  </si>
  <si>
    <t>#8-32, SS, Nylon lock, Hex nut</t>
  </si>
  <si>
    <t>8-32 X 3/8, BHC Screw</t>
  </si>
  <si>
    <t>#10-32 Lock Nut</t>
  </si>
  <si>
    <t>#10-32 X 1" SHC Screw</t>
  </si>
  <si>
    <t>#10-32 Wing Nut</t>
  </si>
  <si>
    <t>Spring Anchor</t>
  </si>
  <si>
    <t>Pressure Plate Nut</t>
  </si>
  <si>
    <t>Handle Connector</t>
  </si>
  <si>
    <t>Trigger Sleeve</t>
  </si>
  <si>
    <t>Top Rod 62"</t>
  </si>
  <si>
    <t>Inner Tube for 4-780</t>
  </si>
  <si>
    <t>78" Gray Inner Tube</t>
  </si>
  <si>
    <t>Trigger Spring</t>
  </si>
  <si>
    <t>Brake Mechanism</t>
  </si>
  <si>
    <t>Big Bushing</t>
  </si>
  <si>
    <t>#9 Washer</t>
  </si>
  <si>
    <t>AT Taper Runner</t>
  </si>
  <si>
    <t>Open Chamber Taper Wheel</t>
  </si>
  <si>
    <t>AT Tape Guide Runner</t>
  </si>
  <si>
    <t>Cutter Chain Spring</t>
  </si>
  <si>
    <t>Creaser Chain</t>
  </si>
  <si>
    <t>Cutter Chain Roller (white) Taper</t>
  </si>
  <si>
    <t>Main Chain Guard</t>
  </si>
  <si>
    <t>CF Ball Coupling-New Design</t>
  </si>
  <si>
    <t>CF Top Clip 2.5" &amp; 3"</t>
  </si>
  <si>
    <t>EH- Connector Plate</t>
  </si>
  <si>
    <t>Large Pivot Pin EH</t>
  </si>
  <si>
    <t>FB 7" Metal Hinge</t>
  </si>
  <si>
    <t>EH-Inner Spring</t>
  </si>
  <si>
    <t>Flat box Screw (#4)</t>
  </si>
  <si>
    <t>FB Bolt (holds axle on)</t>
  </si>
  <si>
    <t>10" Blade Holder Bracket</t>
  </si>
  <si>
    <t>Lightweight Pressure Plate Spring</t>
  </si>
  <si>
    <t>FB 12" Mental Hinge</t>
  </si>
  <si>
    <t>10" Axle</t>
  </si>
  <si>
    <t>Pivot Bearing</t>
  </si>
  <si>
    <t>7" Applicator Pressure Plate</t>
  </si>
  <si>
    <t>8" Applicator Pressure Plate</t>
  </si>
  <si>
    <t>Cutter Assembly</t>
  </si>
  <si>
    <t>Pump Link</t>
  </si>
  <si>
    <t>Spring Tension Pin -CF</t>
  </si>
  <si>
    <t>CF Screw</t>
  </si>
  <si>
    <t>CF Frame Tabs</t>
  </si>
  <si>
    <t>CF Screw 6-32x15</t>
  </si>
  <si>
    <t>CF SS Flat Washer</t>
  </si>
  <si>
    <t>CF Wheel Bushing</t>
  </si>
  <si>
    <t>Finisher Wheels</t>
  </si>
  <si>
    <t>CF Spring (small)</t>
  </si>
  <si>
    <t>CF Spring (Small)</t>
  </si>
  <si>
    <t>CF 3.5" Spring (Big)</t>
  </si>
  <si>
    <t>4" Small Spring- CF</t>
  </si>
  <si>
    <t>4" Large Spring - CF</t>
  </si>
  <si>
    <t>FB Washer</t>
  </si>
  <si>
    <t>Pump Head</t>
  </si>
  <si>
    <t>CF 2.5" Right Frame</t>
  </si>
  <si>
    <t>Assembled Box Wheel (9685&amp;9719)</t>
  </si>
  <si>
    <t>Pump Handle</t>
  </si>
  <si>
    <t>CF 3.5" Left Frame</t>
  </si>
  <si>
    <t>CF 3.5" Right Frame</t>
  </si>
  <si>
    <t>Head Connector</t>
  </si>
  <si>
    <t>EH-Small Pivot Pin</t>
  </si>
  <si>
    <t>AT Ball Screw  6-32x6.3</t>
  </si>
  <si>
    <t>AT Washer</t>
  </si>
  <si>
    <t>AT Brake Pin Holder</t>
  </si>
  <si>
    <t>Taper Brake Pin Screw</t>
  </si>
  <si>
    <t>AT Brake Adjuster</t>
  </si>
  <si>
    <t>AT Wing Nut</t>
  </si>
  <si>
    <t>AT Key Ring Holder</t>
  </si>
  <si>
    <t>AT Tape Roll Holder</t>
  </si>
  <si>
    <t>AT Extension Arm Guide</t>
  </si>
  <si>
    <t>4-800</t>
  </si>
  <si>
    <t>Pump Repair Kit</t>
  </si>
  <si>
    <t>Repair Kits</t>
  </si>
  <si>
    <t>Taper/Gooseneck Cleaning Kit</t>
  </si>
  <si>
    <t>7"Flat Box Seal</t>
  </si>
  <si>
    <t>12"Flat Box Seal</t>
  </si>
  <si>
    <t>7"Flat Box Repair Kit</t>
  </si>
  <si>
    <t>10"Flat Box Repair Kit</t>
  </si>
  <si>
    <t>12"Flat Box Repair Kit</t>
  </si>
  <si>
    <t>2.5"CF Blade Kit</t>
  </si>
  <si>
    <t>3"CF Blade Kit</t>
  </si>
  <si>
    <t>3.5"CF Blade Kit</t>
  </si>
  <si>
    <t>4"CF Blade Kit</t>
  </si>
  <si>
    <t>4-851</t>
  </si>
  <si>
    <t>3"CF Rebuild Kit w/Wheels</t>
  </si>
  <si>
    <t>4-852</t>
  </si>
  <si>
    <t>3.5"CF Rebuild Kit w/Wheels</t>
  </si>
  <si>
    <t>2.5" Corner Finisher Spring Kit (w/wheels)</t>
  </si>
  <si>
    <t>3" Corner Finisher Spring Kit (w/Wheels)</t>
  </si>
  <si>
    <t>3.5" Corner Finisher Spring Kit (w/wheels)</t>
  </si>
  <si>
    <t>4" Corner Finisher w/Wheel Spring Kit</t>
  </si>
  <si>
    <t>Pump Maintenance Kit</t>
  </si>
  <si>
    <t>14" Box Blades (5 packs)</t>
  </si>
  <si>
    <t>4-701CASE-E</t>
  </si>
  <si>
    <t>7" Corner Applicator Case w/Foam Insert (No Tool)</t>
  </si>
  <si>
    <t>Storage</t>
  </si>
  <si>
    <t>4-702CASE-E</t>
  </si>
  <si>
    <t>8" Corner Applicator Case w/Foam Insert (No Tool)</t>
  </si>
  <si>
    <t>4-707CASE-A</t>
  </si>
  <si>
    <t>Inside Corner Roller Case w/Foam Insert (No Tool)</t>
  </si>
  <si>
    <t>4-732CASE-B</t>
  </si>
  <si>
    <t>2.5" Corner Finisher Case w/Foam Insert (No Tool)</t>
  </si>
  <si>
    <t>4-733CASE-B</t>
  </si>
  <si>
    <t>3" Corner Finisher Case w/Foam Insert (No Tool)</t>
  </si>
  <si>
    <t>4-734CASE-B</t>
  </si>
  <si>
    <t>3.5" Corner Finisher Case w/Foam Insert (No Tool)</t>
  </si>
  <si>
    <t>4-754CASE-B</t>
  </si>
  <si>
    <t>2" Nail Spotter Case w/Foam Insert (No Tool)</t>
  </si>
  <si>
    <t>4-755CASE-B</t>
  </si>
  <si>
    <t>3" Nail Spotter Case w/Foam Insert (No Tool)</t>
  </si>
  <si>
    <t>4-760CASE-I</t>
  </si>
  <si>
    <t>Auto Taper or MiniShot Case w/Foam Insert (No Tool)</t>
  </si>
  <si>
    <t>4-764CASE-C</t>
  </si>
  <si>
    <t>7" Standard Flat Box Case w/Foam Insert (No Tool)</t>
  </si>
  <si>
    <t>4-765CASE-C</t>
  </si>
  <si>
    <t>10" Standard Flat Box Case w/Foam Insert (No Tool)</t>
  </si>
  <si>
    <t>4-766CASE-D</t>
  </si>
  <si>
    <t>12" Standard Flat Box Case w/Foam Insert (No Tool)</t>
  </si>
  <si>
    <t>4-767CASE-C</t>
  </si>
  <si>
    <t>7" MEGA Flat Box Case w/Foam Insert (No Tool)</t>
  </si>
  <si>
    <t>4-768CASE-C</t>
  </si>
  <si>
    <t>10" MEGA Flat Box Case w/Foam Insert (No Tool)</t>
  </si>
  <si>
    <t>4-769CASE-D</t>
  </si>
  <si>
    <t>12" MEGA Flat Box Case w/Foam Insert (No Tool)</t>
  </si>
  <si>
    <t>4-770CASE-D</t>
  </si>
  <si>
    <t>14" Standard Flat Box Case w/Foam Insert (No Tool)</t>
  </si>
  <si>
    <t>4-771CASE-F</t>
  </si>
  <si>
    <t>Compound Pump &amp; Accessories Case w/Foam Insert (No Tool)</t>
  </si>
  <si>
    <t>Drywall Hand Tools</t>
  </si>
  <si>
    <t>Bucket Scoops</t>
  </si>
  <si>
    <t>DEWALT 6PC SS J-Knife Set-Sft Grp Hndl</t>
  </si>
  <si>
    <t>Hand Tool Sets</t>
  </si>
  <si>
    <t>DEWALT 4 Piece SS J-Knife-Sft Grp Hndl</t>
  </si>
  <si>
    <t>DEWALT 5PC SS Taping Knife Set</t>
  </si>
  <si>
    <t>DEWALT 3PC SS Hand Tool Set w/14"Pan</t>
  </si>
  <si>
    <t>DEWALT 3PC SS J-Knife Sft Grp BlisterPK</t>
  </si>
  <si>
    <t>DEWALT 3PC SS J-Knife WeldHndl BlisterPK</t>
  </si>
  <si>
    <t>DEWALT Hawk 13" x 13"</t>
  </si>
  <si>
    <t>Hawks</t>
  </si>
  <si>
    <t>DEWALT Hawk 16" x 16"</t>
  </si>
  <si>
    <t>5-326</t>
  </si>
  <si>
    <t>Hawk 16" x 16"</t>
  </si>
  <si>
    <t>DXTT-2-321</t>
  </si>
  <si>
    <t>DEWALT 3.5" Inside Corner Trowel</t>
  </si>
  <si>
    <t>Inside Corner Trowels</t>
  </si>
  <si>
    <t>6.5"x11.5"SS Corner Trowel-Sft Grp</t>
  </si>
  <si>
    <t>Jab Saws</t>
  </si>
  <si>
    <t>DEWALT 3"SS Joint Knife-Sft Grp Hndl</t>
  </si>
  <si>
    <t>Joint Knives</t>
  </si>
  <si>
    <t>DEWALT 4"SS Joint Knife-Sft Grp Hndl</t>
  </si>
  <si>
    <t>DEWALT 8"SS Joint Knife-Sft Grp Hndl</t>
  </si>
  <si>
    <t>DEWALT 10"SS Joint Knife-Sft Grp Hndl</t>
  </si>
  <si>
    <t>DEWALT 1"SS Joint Knife-Sft Grp Hndl</t>
  </si>
  <si>
    <t>DEWALT 2"SS Joint Knife-Sft Grp Hndl</t>
  </si>
  <si>
    <t>DEWALT 3"CS Joint Knife-Sft Grp Hndl</t>
  </si>
  <si>
    <t>DEWALT 4"CS Joint Knife-Sft Grp Hndl</t>
  </si>
  <si>
    <t>DEWALT 5"CS Joint Knife-Sft Grp Hndl</t>
  </si>
  <si>
    <t>DEWALT 6"CS Joint Knife-Sft Grp Hndl</t>
  </si>
  <si>
    <t>DEWALT 8"CS Joint Knife-Sft Grp Hndl</t>
  </si>
  <si>
    <t>DEWALT 10"CS Joint Knife-Sft Grp Hndl</t>
  </si>
  <si>
    <t>DEWALT 1.5"SS Joint Knife-Welded Hndl</t>
  </si>
  <si>
    <t>DEWALT 2"SS Joint Knife-Welded Hndl</t>
  </si>
  <si>
    <t>DEWALT 3"SS Joint Knife-Welded Hndl</t>
  </si>
  <si>
    <t>DEWALT 4"SS Joint Knife-Welded Hndl</t>
  </si>
  <si>
    <t>DEWALT 5"SS Joint Knife-Welded Hndl</t>
  </si>
  <si>
    <t>DEWALT 6"SS Joint Knife-Welded Hndl</t>
  </si>
  <si>
    <t>DEWALT 8"SS Joint Knife-Welded Hndl</t>
  </si>
  <si>
    <t>DEWALT 10"SS Joint Knife-Welded Hndl</t>
  </si>
  <si>
    <t>DEWALT Welded Joint Knife Grips 5Pk</t>
  </si>
  <si>
    <t>DEWALT 4" SS Stretch Joint Knife</t>
  </si>
  <si>
    <t>DEWALT 5" SS Stretch Joint Knife</t>
  </si>
  <si>
    <t>DEWALT 6" SS Stretch Joint Knife</t>
  </si>
  <si>
    <t>DEWALT 8" SS Stretch Joint Knife</t>
  </si>
  <si>
    <t>DEWALT 4" SS Joint Knife Composite Hndl</t>
  </si>
  <si>
    <t>DEWALT 5" SS Joint Knife Composite Hndl</t>
  </si>
  <si>
    <t>DEWALT 6" SS Joint Knife Composite Hndl</t>
  </si>
  <si>
    <t>DXTT-7-141</t>
  </si>
  <si>
    <t>DEWALT 5"SS Joint Knife-Sft Grp Hndl</t>
  </si>
  <si>
    <t>DXTT-7-142</t>
  </si>
  <si>
    <t>DEWALT 6"SS Joint Knife-Sft Grp Hndl</t>
  </si>
  <si>
    <t>5-160</t>
  </si>
  <si>
    <t>4" CS Joint Knife-Black Plastic Hndl</t>
  </si>
  <si>
    <t>5-161</t>
  </si>
  <si>
    <t>5" CS Joint Knife-Black Plastic Hndl</t>
  </si>
  <si>
    <t>5-162</t>
  </si>
  <si>
    <t>6" CS Joint Knife-Black Plastic Hndl</t>
  </si>
  <si>
    <t>5-170</t>
  </si>
  <si>
    <t>4" SS Joint Knife-Black Plastic Hndl</t>
  </si>
  <si>
    <t>5-171</t>
  </si>
  <si>
    <t>5" SS Joint Knife-Black Plastic Hndl</t>
  </si>
  <si>
    <t>5-172</t>
  </si>
  <si>
    <t>6" SS Joint Knife-Black Plastic Hndl</t>
  </si>
  <si>
    <t>4" SS Stretch Joint Knife</t>
  </si>
  <si>
    <t>5" SS Stretch Joint Knife</t>
  </si>
  <si>
    <t>6" SS Stretch Joint Knife</t>
  </si>
  <si>
    <t>8" SS Stretch Joint Knife</t>
  </si>
  <si>
    <t>DEWALT Mixer 5" Head 32" Shaft</t>
  </si>
  <si>
    <t>Mixers</t>
  </si>
  <si>
    <t>DEWALT Mixer 7" Head 32" Shaft</t>
  </si>
  <si>
    <t>DEWALT Mixer 2" Head 13" Shaft</t>
  </si>
  <si>
    <t>DEWALT Mixer 4" Head 28" Shaft</t>
  </si>
  <si>
    <t>DEWALT Mixer Adaptor-w/HexKey</t>
  </si>
  <si>
    <t>Mixer 7" Head 32" Shaft</t>
  </si>
  <si>
    <t>5-296</t>
  </si>
  <si>
    <t>Two Piece Mixer 4" Head</t>
  </si>
  <si>
    <t>DEWALT 12"SS Mud Pan</t>
  </si>
  <si>
    <t>Mud Pans</t>
  </si>
  <si>
    <t>DEWALT 14"SS Mud Pan</t>
  </si>
  <si>
    <t>DEWALT 16"SS Mud Pan</t>
  </si>
  <si>
    <t>12"SS Mud Pan</t>
  </si>
  <si>
    <t>14"SS Mud Pan</t>
  </si>
  <si>
    <t>16"SS Mud Pan</t>
  </si>
  <si>
    <t>8-334</t>
  </si>
  <si>
    <t>14" SS Mud Pan</t>
  </si>
  <si>
    <t>Outside Corner Trowels</t>
  </si>
  <si>
    <t>DXTT-2-342</t>
  </si>
  <si>
    <t>DEWALT 9" Radial Sander</t>
  </si>
  <si>
    <t>Radial Sanders</t>
  </si>
  <si>
    <t>5-342</t>
  </si>
  <si>
    <t>9" Radial Sander</t>
  </si>
  <si>
    <t>5-343</t>
  </si>
  <si>
    <t>48" Radial Sander Pole</t>
  </si>
  <si>
    <t>DXTT-2-901</t>
  </si>
  <si>
    <t>DEWALT 9" Compound Roller</t>
  </si>
  <si>
    <t>Rollers</t>
  </si>
  <si>
    <t>DXTT-2-905</t>
  </si>
  <si>
    <t>DEWALT 9" MUD ROLLER WITH FRAME</t>
  </si>
  <si>
    <t>4-001</t>
  </si>
  <si>
    <t>4" Mud Roller</t>
  </si>
  <si>
    <t>4-002</t>
  </si>
  <si>
    <t>Corner Mud Roller</t>
  </si>
  <si>
    <t>4-003</t>
  </si>
  <si>
    <t>4" Mud Roller Frame</t>
  </si>
  <si>
    <t>4-004</t>
  </si>
  <si>
    <t>Corner Mud Roller Frame</t>
  </si>
  <si>
    <t>4-005</t>
  </si>
  <si>
    <t>4" Mud Roller w/Frame</t>
  </si>
  <si>
    <t>4-006</t>
  </si>
  <si>
    <t>Corner Mud Roller w/Frame</t>
  </si>
  <si>
    <t>4-007</t>
  </si>
  <si>
    <t>4" Mud Roller Cover 3pk</t>
  </si>
  <si>
    <t>4-008</t>
  </si>
  <si>
    <t>Corner Mud Roller Cover 3pk</t>
  </si>
  <si>
    <t>4-009</t>
  </si>
  <si>
    <t>9"Mud Roller-3pk</t>
  </si>
  <si>
    <t>4-012</t>
  </si>
  <si>
    <t>12"Mud Roller-3pk</t>
  </si>
  <si>
    <t>4-903</t>
  </si>
  <si>
    <t>9"Mud Roller Frame</t>
  </si>
  <si>
    <t>4-904</t>
  </si>
  <si>
    <t>12"Mud Roller Frame</t>
  </si>
  <si>
    <t>DXTT-2-346</t>
  </si>
  <si>
    <t>DEWALT 120 Grit Sanding Disc 10pk</t>
  </si>
  <si>
    <t>Sanding Discs</t>
  </si>
  <si>
    <t>DXTT-2-347</t>
  </si>
  <si>
    <t>DEWALT 150 Grit Sanding Disc 10pk</t>
  </si>
  <si>
    <t>DXTT-2-348</t>
  </si>
  <si>
    <t>DEWALT 180 Grit Sanding Disc 10pk</t>
  </si>
  <si>
    <t>5-345</t>
  </si>
  <si>
    <t>80 Grit 9" Radial Sander Disc-10pk</t>
  </si>
  <si>
    <t>5-346</t>
  </si>
  <si>
    <t>120 Grit 9" Radial Sander Disc-10pk</t>
  </si>
  <si>
    <t>5-347</t>
  </si>
  <si>
    <t>150 Grit 9" Radial Sander Disc-10pk</t>
  </si>
  <si>
    <t>5-348</t>
  </si>
  <si>
    <t>180 Grit 9" Radial Sander Disc-10pk</t>
  </si>
  <si>
    <t>5-349</t>
  </si>
  <si>
    <t>200 Grit 9" Radial Sander Disc-10pk</t>
  </si>
  <si>
    <t>5-350</t>
  </si>
  <si>
    <t>220 Grit 9" Radial Sander Disc-10pk</t>
  </si>
  <si>
    <t>DEWALT 9-in-1 Tool-Sft Grp Hndl</t>
  </si>
  <si>
    <t>Specialty Knives</t>
  </si>
  <si>
    <t>DEWALT SS Clipped Knife-Sft Grp Hndl</t>
  </si>
  <si>
    <t>DEWALT SS Pointed Knife -Sft Grp Hndl</t>
  </si>
  <si>
    <t>20" Flat Tool Bag</t>
  </si>
  <si>
    <t>24" Duffle Tool Bag</t>
  </si>
  <si>
    <t>DEWALT 6"BS Taping Knife-Sft Grp Hndl</t>
  </si>
  <si>
    <t>Taping Knives</t>
  </si>
  <si>
    <t>DEWALT 8"BS Taping Knife-Sft Grp Hndl</t>
  </si>
  <si>
    <t>DEWALT 10"BS Taping Knife-Sft Grp Hndl</t>
  </si>
  <si>
    <t>DEWALT 12"BS Taping Knife-Sft Grp Hndl</t>
  </si>
  <si>
    <t>DEWALT 14"BS Taping Knife-Sft Grp Hndl</t>
  </si>
  <si>
    <t>DEWALT 8"SS Taping Knife-Sft Grp Hndl</t>
  </si>
  <si>
    <t>DEWALT 10"SS Taping Knife-Sft Grp Hndl</t>
  </si>
  <si>
    <t>DEWALT 12"SS Taping Knife-Sft Grp Hndl</t>
  </si>
  <si>
    <t>DEWALT 14"SS Taping Knife-Sft Grp Hndl</t>
  </si>
  <si>
    <t>DEWALT 8"BS BG BK T-Knife-Sft Grp Hndl</t>
  </si>
  <si>
    <t>DEWALT 10"BS BG BK T-Knife-Sft Grp Hndl</t>
  </si>
  <si>
    <t>DEWALT 12"BS BG BK T-Knife-Sft Grp Hndl</t>
  </si>
  <si>
    <t>DEWALT 14"BS BG BK T-Knife-Sft Grp Hndl</t>
  </si>
  <si>
    <t>DEWALT 16"BS BG BK T-Knife-Sft Grp Hndl</t>
  </si>
  <si>
    <t>DEWALT 8"SS BG BK T-Knife-Sft Grp Hndl</t>
  </si>
  <si>
    <t>DEWALT 10"SS BG BK T-Knife-Sft Grp Hndl</t>
  </si>
  <si>
    <t>DEWALT 12"SS BG BK T-Knife-Sft Grp Hndl</t>
  </si>
  <si>
    <t>DEWALT 14"SS BG BK T-Knife-Sft Grp Hndl</t>
  </si>
  <si>
    <t>DEWALT 16"SS BG BK T-Knife-Sft Grp Hndl</t>
  </si>
  <si>
    <t>DEWALT 8"SS OffSet T-Knife-Stiff w/Adpt</t>
  </si>
  <si>
    <t>DEWALT 8"SS OffSet T-Knife-Flex w/Adpt</t>
  </si>
  <si>
    <t>DEWALT 10"SS OffSet T-Knife-Stiff w/Adpt</t>
  </si>
  <si>
    <t>DEWALT 10"SS OffSet T-Knife-Flex w/Adpt</t>
  </si>
  <si>
    <t>DEWALT 12"SS OffSet T-Knife-Stiff w/Adpt</t>
  </si>
  <si>
    <t>DEWALT 12"SS OffSet T-Knife-Flex w/Adpt</t>
  </si>
  <si>
    <t>DEWALT 14"SS OffSet T-Knife-Stiff w/Adpt</t>
  </si>
  <si>
    <t>DEWALT 14"SS OffSet T-Knife-Flex w/Adpt</t>
  </si>
  <si>
    <t>DEWALT 16"SS OffSet T-Knife-Stiff w/Adpt</t>
  </si>
  <si>
    <t>DEWALT 16"SS OffSet T-Knife-Flex w/Adpt</t>
  </si>
  <si>
    <t>DEWALT 18"SS OffSet T-Knife-Stiff w/Adpt</t>
  </si>
  <si>
    <t>DEWALT 18"SS OffSet T-Knife-Flex w/Adpt</t>
  </si>
  <si>
    <t>DEWALT Offset Knife Adpt</t>
  </si>
  <si>
    <t>5-112</t>
  </si>
  <si>
    <t>6"BS Taping Knife-Plastic Hndl</t>
  </si>
  <si>
    <t>5-114</t>
  </si>
  <si>
    <t>8"BS Taping Knife-Plastic Hndl</t>
  </si>
  <si>
    <t>5-117</t>
  </si>
  <si>
    <t>12"BS Taping Knife-Plastic Hndl</t>
  </si>
  <si>
    <t>5-118</t>
  </si>
  <si>
    <t>14"BS Taping Knife-Plastic Hndl</t>
  </si>
  <si>
    <t>5-203</t>
  </si>
  <si>
    <t>4" Trim Puller - Sft Grp Hndl</t>
  </si>
  <si>
    <t>Trim Puller</t>
  </si>
  <si>
    <t>DEWALT 11.5"SS Flat Trowel .7mm</t>
  </si>
  <si>
    <t>Trowels</t>
  </si>
  <si>
    <t>DEWALT 12"SS Flat Trowel .7mm</t>
  </si>
  <si>
    <t>DEWALT 14"SS Flat Trowel .7mm</t>
  </si>
  <si>
    <t>DEWALT 16"SS Flat Trowel .7mm</t>
  </si>
  <si>
    <t>DEWALT 18"SS Flat Trowel .7mm</t>
  </si>
  <si>
    <t>DEWALT 12"SS Flat Flex Trowel .4x100mm</t>
  </si>
  <si>
    <t>DEWALT 14"SS Flat Flex Trowel .4x100mm</t>
  </si>
  <si>
    <t>DEWALT 16"SS Flat Flex Trowel .4x100mm</t>
  </si>
  <si>
    <t>DEWALT 12"SS Curved Trowel .7mm</t>
  </si>
  <si>
    <t>DEWALT 14"SS Curved Trowel .7mm</t>
  </si>
  <si>
    <t>DEWALT 16"SS Curved Trowel .7mm</t>
  </si>
  <si>
    <t>DEWALT 12"SS Flat Flex Trowel .4x120mm</t>
  </si>
  <si>
    <t>DEWALT 14"SS Flat Flex Trowel .4x120mm</t>
  </si>
  <si>
    <t>DEWALT 16"SS Flat Flex Trowel .4x120mm</t>
  </si>
  <si>
    <t>DXTT-2-981</t>
  </si>
  <si>
    <t>DEWALT 12"SS Flat Pro Flex Trowel .5mm</t>
  </si>
  <si>
    <t>DEWALT 14"SS Flat Pro Flex Trowel .5mm</t>
  </si>
  <si>
    <t>DXTT-2-983</t>
  </si>
  <si>
    <t>DEWALT 16"SS Flat Pro Flex Trowel .5mm</t>
  </si>
  <si>
    <t>DEWALT 12"SS Curved Pro Flex Trowel .5mm</t>
  </si>
  <si>
    <t>DEWALT 14"SS Curved Pro Flex Trowel .5mm</t>
  </si>
  <si>
    <t>DXTT-2-991</t>
  </si>
  <si>
    <t>DEWALT 12"SS Flat Ultra Flex Trowel .4mm</t>
  </si>
  <si>
    <t>DXTT-2-992</t>
  </si>
  <si>
    <t>DEWALT 14"SS Flat Ultra Flex Trowel .4mm</t>
  </si>
  <si>
    <t>DXTT-2-993</t>
  </si>
  <si>
    <t>DEWALT 16"SS Flat Ultra Flex Trowel .4mm</t>
  </si>
  <si>
    <t>DEWALT 12"SS Flt UltraFlex Trwl .3x100mm</t>
  </si>
  <si>
    <t>DEWALT 14"SS Flt UltraFlex Trwl .3x100mm</t>
  </si>
  <si>
    <t>DEWALT 16"SS Flt Ultraflex Trwl .3x100mm</t>
  </si>
  <si>
    <t>12"SS Flat Flex Trowel .4x100mm</t>
  </si>
  <si>
    <t>14"SS Flat Flex Trowel .4x100mm</t>
  </si>
  <si>
    <t>16"SS Flat Flex Trowel .4x100mm</t>
  </si>
  <si>
    <t>12"SS Curved Trowel .7mm</t>
  </si>
  <si>
    <t>12"SS Flat Flex Trowel .4x120mm</t>
  </si>
  <si>
    <t>14"SS Flat Flex Trowel .4x120mm</t>
  </si>
  <si>
    <t>16"SS Flat Flex Trowel .4x120mm</t>
  </si>
  <si>
    <t>4-991</t>
  </si>
  <si>
    <t>12"SS Flat Ultra Flex Trowel .4mm</t>
  </si>
  <si>
    <t>4-993</t>
  </si>
  <si>
    <t>16"SS Flat Ultra Flex Trowel .4mm</t>
  </si>
  <si>
    <t>12"SS Flat UltraFlex Trowel .3x100mm</t>
  </si>
  <si>
    <t>14"SS Flat UltraFlex Trowel .3x100mm</t>
  </si>
  <si>
    <t>16"SS Flat Ultraflex Trowel .3x100mm</t>
  </si>
  <si>
    <t>DXTT-2-302</t>
  </si>
  <si>
    <t>DEWALT 48" HD Drywall T-Square</t>
  </si>
  <si>
    <t>T-Square</t>
  </si>
  <si>
    <t>Starter Set w/Banjo</t>
  </si>
  <si>
    <t>Drywall Semi Auto Tools</t>
  </si>
  <si>
    <t>Banjo Sets</t>
  </si>
  <si>
    <t>5-311</t>
  </si>
  <si>
    <t>Drywall Banjo</t>
  </si>
  <si>
    <t>Banjos</t>
  </si>
  <si>
    <t>42" Compound Tube</t>
  </si>
  <si>
    <t>4-743</t>
  </si>
  <si>
    <t>3"Direct Corner Flusher w/Wheels</t>
  </si>
  <si>
    <t>Flushers</t>
  </si>
  <si>
    <t>4-744</t>
  </si>
  <si>
    <t>3.5"Direct Corner Flusher w/Wheels</t>
  </si>
  <si>
    <t>DEWALT Skimming Blade Adapter</t>
  </si>
  <si>
    <t>DEWALT 37"-63"Skimming Blade Ext Hndl</t>
  </si>
  <si>
    <t>DEWALT 48"-87"Skimming Blade Ext Hndl</t>
  </si>
  <si>
    <t>DXTT-2-944</t>
  </si>
  <si>
    <t>DEWALT 21"-32"Skimming Blade Ext Hndl</t>
  </si>
  <si>
    <t>4-909</t>
  </si>
  <si>
    <t>Thread Adpt for Skimming Blade Hndl</t>
  </si>
  <si>
    <t>4-941C</t>
  </si>
  <si>
    <t>C Skimming Blade Adapter</t>
  </si>
  <si>
    <t>48"-87"Skimming Blade Ext Hndl</t>
  </si>
  <si>
    <t>DXTT-2-305</t>
  </si>
  <si>
    <t>Pro Texture Sprayer with Hopper</t>
  </si>
  <si>
    <t>Hopper Gun</t>
  </si>
  <si>
    <t>DXTT-2-306</t>
  </si>
  <si>
    <t>DEWALT Texture Hopper Gun Nozzles</t>
  </si>
  <si>
    <t>DEWALT Skimming Blade End Caps</t>
  </si>
  <si>
    <t>4-959C</t>
  </si>
  <si>
    <t>C Skimming Blade End Caps</t>
  </si>
  <si>
    <t>5-550</t>
  </si>
  <si>
    <t>Skimming Blade &amp; Roller Set w/Case</t>
  </si>
  <si>
    <t>Skimming Blade Sets</t>
  </si>
  <si>
    <t>DEWALT 7"Skimming Blade</t>
  </si>
  <si>
    <t>Skimming Blades</t>
  </si>
  <si>
    <t>DEWALT 10"Skimming Blade</t>
  </si>
  <si>
    <t>DEWALT 14"Skimming Blade</t>
  </si>
  <si>
    <t>DEWALT 16"Skimming Blade</t>
  </si>
  <si>
    <t>DEWALT 24"Skimming Blade</t>
  </si>
  <si>
    <t>DEWALT 32"Skimming Blade</t>
  </si>
  <si>
    <t>DEWALT 40"Skimming Blade</t>
  </si>
  <si>
    <t>DEWALT 48"Skimming Blade</t>
  </si>
  <si>
    <t>DEWALT 14"Skimming Blade Insert</t>
  </si>
  <si>
    <t>DEWALT 10"Skimming Blade Insert</t>
  </si>
  <si>
    <t>DEWALT 16"Skimming Blade Insert</t>
  </si>
  <si>
    <t>DEWALT 24"Skimming Blade Insert</t>
  </si>
  <si>
    <t>DEWALT 32"Skimming Blade Insert</t>
  </si>
  <si>
    <t>DEWALT 40"Skimming Blade Insert</t>
  </si>
  <si>
    <t>DEWALT 48"Skimming Blade Insert</t>
  </si>
  <si>
    <t>32"Composite Skimming Blade</t>
  </si>
  <si>
    <t>14"C Skimming Blade Insert</t>
  </si>
  <si>
    <t>10"C Skimming Blade Insert</t>
  </si>
  <si>
    <t>16"C Skimming Blade Insert</t>
  </si>
  <si>
    <t>24"C Skimming Blade Insert</t>
  </si>
  <si>
    <t>32"C Skimming Blade Insert</t>
  </si>
  <si>
    <t>1-272</t>
  </si>
  <si>
    <t>DEWALT Gondola</t>
  </si>
  <si>
    <t>Misc</t>
  </si>
  <si>
    <t>Display</t>
  </si>
  <si>
    <t>1-271</t>
  </si>
  <si>
    <t>Level 5 Gondola</t>
  </si>
  <si>
    <t>1-273</t>
  </si>
  <si>
    <t>ATT Bracket set for L5/DEWALT Display</t>
  </si>
  <si>
    <t>1-274</t>
  </si>
  <si>
    <t>Display Peg Hooks 25 pk.</t>
  </si>
  <si>
    <t>Level5 Totals:</t>
  </si>
  <si>
    <t>4-677P</t>
  </si>
  <si>
    <t>4-617P</t>
  </si>
  <si>
    <t>4-660P</t>
  </si>
  <si>
    <t>4-630</t>
  </si>
  <si>
    <t>4-602</t>
  </si>
  <si>
    <t>5-425C</t>
  </si>
  <si>
    <t>5-444C</t>
  </si>
  <si>
    <t>5-444</t>
  </si>
  <si>
    <t>5-690</t>
  </si>
  <si>
    <t>5-681</t>
  </si>
  <si>
    <t>5-682</t>
  </si>
  <si>
    <t>5-683</t>
  </si>
  <si>
    <t>MAPP</t>
  </si>
  <si>
    <t>Level5</t>
  </si>
  <si>
    <t>DeWalt</t>
  </si>
  <si>
    <t>Tier 1 Order Form Summary</t>
  </si>
  <si>
    <t>L5 SKU</t>
  </si>
  <si>
    <t>L5 Part #</t>
  </si>
  <si>
    <t>DESCRIPTION</t>
  </si>
  <si>
    <t>3-730</t>
  </si>
  <si>
    <t>DXTT-3-731</t>
  </si>
  <si>
    <t>3-731</t>
  </si>
  <si>
    <t>DEWALT 15.5" x 3" Extruded Aluminum Float</t>
  </si>
  <si>
    <t>5-730</t>
  </si>
  <si>
    <t>15.5" x 3" Extruded Aluminum Float</t>
  </si>
  <si>
    <t>5-731</t>
  </si>
  <si>
    <t>16" x 3 1/8" Extruded Magnesium Float</t>
  </si>
  <si>
    <t>5-920</t>
  </si>
  <si>
    <t>9" x 4" Black Rubber Float; Composite Hndl</t>
  </si>
  <si>
    <t>5-921</t>
  </si>
  <si>
    <t>9" x 4" Red Rubber Float; Composite Hndl</t>
  </si>
  <si>
    <t>5-925</t>
  </si>
  <si>
    <t>6" x 2" Margin Float</t>
  </si>
  <si>
    <t>DXTT-3-744</t>
  </si>
  <si>
    <t>3-744</t>
  </si>
  <si>
    <t>DEWALT 6" x 3" Stainless Steel Edger</t>
  </si>
  <si>
    <t>3-745</t>
  </si>
  <si>
    <t>5-740</t>
  </si>
  <si>
    <t>10" x 10" x 1/2" Walking Edger</t>
  </si>
  <si>
    <t>5-743</t>
  </si>
  <si>
    <t>6" x 3" Concrete Edger</t>
  </si>
  <si>
    <t>3-701</t>
  </si>
  <si>
    <t>3-702</t>
  </si>
  <si>
    <t>3-703</t>
  </si>
  <si>
    <t>3-704</t>
  </si>
  <si>
    <t>3-705</t>
  </si>
  <si>
    <t>3-709</t>
  </si>
  <si>
    <t>5-701</t>
  </si>
  <si>
    <t>8" x 3" Finishing Trowel</t>
  </si>
  <si>
    <t>5-702</t>
  </si>
  <si>
    <t>12" x 4" Finishing Trowel</t>
  </si>
  <si>
    <t>5-703</t>
  </si>
  <si>
    <t>14" x 4" Finishing Trowel</t>
  </si>
  <si>
    <t>5-704</t>
  </si>
  <si>
    <t>16" x 4" Finishing Trowel</t>
  </si>
  <si>
    <t>5-705</t>
  </si>
  <si>
    <t>18" x 4" Finishing Trowel</t>
  </si>
  <si>
    <t>5-706</t>
  </si>
  <si>
    <t>12" CS Flat Finishing Trowel Composite Hndl</t>
  </si>
  <si>
    <t>5-707</t>
  </si>
  <si>
    <t>14" CS Flat FInishing Trowel Composite Hndl</t>
  </si>
  <si>
    <t>5-709</t>
  </si>
  <si>
    <t>16" x 4" Round Front; Square Tail Finishing Trowel</t>
  </si>
  <si>
    <t>3-759</t>
  </si>
  <si>
    <t>5-759</t>
  </si>
  <si>
    <t>7" Gauging Trowel</t>
  </si>
  <si>
    <t>3-741</t>
  </si>
  <si>
    <t>5-741</t>
  </si>
  <si>
    <t>10" x 3.5" x 3/8" Walking Groover</t>
  </si>
  <si>
    <t>5-742</t>
  </si>
  <si>
    <t>6" x 3" Concrete Groover</t>
  </si>
  <si>
    <t>5-870</t>
  </si>
  <si>
    <t>Pointing Trowel Set</t>
  </si>
  <si>
    <t>5-871</t>
  </si>
  <si>
    <t>Tuck-Pointing Trowel Set</t>
  </si>
  <si>
    <t>5-872</t>
  </si>
  <si>
    <t>Philadelphia Brick Trowel Set</t>
  </si>
  <si>
    <t>5-873</t>
  </si>
  <si>
    <t>London Brick Trowel Set</t>
  </si>
  <si>
    <t>5-874</t>
  </si>
  <si>
    <t>Margin Trowel Set</t>
  </si>
  <si>
    <t>5-875</t>
  </si>
  <si>
    <t>London Bricklaying Set</t>
  </si>
  <si>
    <t>5-876</t>
  </si>
  <si>
    <t>Philly Bricklaying Set</t>
  </si>
  <si>
    <t>3-750</t>
  </si>
  <si>
    <t>3-751</t>
  </si>
  <si>
    <t>DXTT-3-752</t>
  </si>
  <si>
    <t>3-752</t>
  </si>
  <si>
    <t>DEWALT 12" x 5.75" London Brick Trowel</t>
  </si>
  <si>
    <t>4-913</t>
  </si>
  <si>
    <t>SM Brick Trowel Composite Handle</t>
  </si>
  <si>
    <t>4-915</t>
  </si>
  <si>
    <t>LG Brick Trowel Composite Handle</t>
  </si>
  <si>
    <t>5-745</t>
  </si>
  <si>
    <t>10" London Brick Trowel; Welded; Composite Hndl</t>
  </si>
  <si>
    <t>5-750</t>
  </si>
  <si>
    <t>10" x 4 5/8" London Brick Trowel</t>
  </si>
  <si>
    <t>5-751</t>
  </si>
  <si>
    <t>11.5" x 5" London Brick Trowel</t>
  </si>
  <si>
    <t>5-752</t>
  </si>
  <si>
    <t>12" x 5.75" London Brick Trowel</t>
  </si>
  <si>
    <t>3-756</t>
  </si>
  <si>
    <t>3-757</t>
  </si>
  <si>
    <t>3-758</t>
  </si>
  <si>
    <t>5-756</t>
  </si>
  <si>
    <t>5" x 2" Margin Trowel</t>
  </si>
  <si>
    <t>5-757</t>
  </si>
  <si>
    <t>6" x 2" Margin Trowel</t>
  </si>
  <si>
    <t>5-758</t>
  </si>
  <si>
    <t>8" x 2" Margin Trowel</t>
  </si>
  <si>
    <t>5-775</t>
  </si>
  <si>
    <t>5" x 2" Margin Trowel Composite Hndl</t>
  </si>
  <si>
    <t>DXTT-2-911</t>
  </si>
  <si>
    <t>2-911</t>
  </si>
  <si>
    <t>DEWALT SM Brick Trowel Soft Grip Handle</t>
  </si>
  <si>
    <t>DXTT-2-912</t>
  </si>
  <si>
    <t>2-912</t>
  </si>
  <si>
    <t>DEWALT LG Brick Trowel Soft Grip Handle</t>
  </si>
  <si>
    <t>DXTT-2-958</t>
  </si>
  <si>
    <t>2-958</t>
  </si>
  <si>
    <t>DEWALT Finishing Trowel Soft Grip Hdle</t>
  </si>
  <si>
    <t>4-912</t>
  </si>
  <si>
    <t>LG Brick Trowel Soft Grip Handle</t>
  </si>
  <si>
    <t>4-919</t>
  </si>
  <si>
    <t>SM Brick Trowel Soft Grip Handle</t>
  </si>
  <si>
    <t>4-958</t>
  </si>
  <si>
    <t>Finishing Trowel Soft Grip Handle</t>
  </si>
  <si>
    <t>5-760</t>
  </si>
  <si>
    <t>10" Philadelphia Large Brick Trowel</t>
  </si>
  <si>
    <t>Philadelphia Trowels</t>
  </si>
  <si>
    <t>5-761</t>
  </si>
  <si>
    <t>11" Philadelphia Large Brick Trowel</t>
  </si>
  <si>
    <t>5-762</t>
  </si>
  <si>
    <t>12" Philadelphia Large Brick Trowel</t>
  </si>
  <si>
    <t>3-753</t>
  </si>
  <si>
    <t>3-754</t>
  </si>
  <si>
    <t>DXTT-3-755</t>
  </si>
  <si>
    <t>3-755</t>
  </si>
  <si>
    <t>DEWALT 7" x 3" Pointing Trowel</t>
  </si>
  <si>
    <t>5-753</t>
  </si>
  <si>
    <t>5" x 2.5" Pointing Trowel</t>
  </si>
  <si>
    <t>5-754</t>
  </si>
  <si>
    <t>6" x 2 3/4" Pointing Trowel</t>
  </si>
  <si>
    <t>5-755</t>
  </si>
  <si>
    <t>7" x 3" Pointing Trowel</t>
  </si>
  <si>
    <t>5-781</t>
  </si>
  <si>
    <t>6" x 2.5" Pointing Trowel Composite Hndl</t>
  </si>
  <si>
    <t>3-721</t>
  </si>
  <si>
    <t>3-722</t>
  </si>
  <si>
    <t>3-723</t>
  </si>
  <si>
    <t>5-720</t>
  </si>
  <si>
    <t>16" x 4.5 Pool Trowel SS</t>
  </si>
  <si>
    <t>5-721</t>
  </si>
  <si>
    <t>14" x4" Pool Trowel SS</t>
  </si>
  <si>
    <t>5-722</t>
  </si>
  <si>
    <t>10" x 3" Pool Trowel SS</t>
  </si>
  <si>
    <t>3-770</t>
  </si>
  <si>
    <t>5-770</t>
  </si>
  <si>
    <t>14" x 4 3/4" SS Gold Plated Stucco Trowel 0.7mm</t>
  </si>
  <si>
    <t>5-771</t>
  </si>
  <si>
    <t>12" x 4 3/4" SS Gold Plated Stucco Trowel 0.7mm</t>
  </si>
  <si>
    <t>5-765</t>
  </si>
  <si>
    <t>1/4" Tuck-Pointing Trowel</t>
  </si>
  <si>
    <t>Tuck-Pointing Trowels</t>
  </si>
  <si>
    <t>5-766</t>
  </si>
  <si>
    <t>3/8" Tuck-Pointing Trowel</t>
  </si>
  <si>
    <t>5-767</t>
  </si>
  <si>
    <t>1/2" Tuck-Pointing Trowel</t>
  </si>
  <si>
    <t>2-701</t>
  </si>
  <si>
    <t>EU2-701</t>
  </si>
  <si>
    <t>4-701OS</t>
  </si>
  <si>
    <t>7"Corner Applicator-Original Style</t>
  </si>
  <si>
    <t>4-701OSR</t>
  </si>
  <si>
    <t>REFURB 7"Corner Applicator</t>
  </si>
  <si>
    <t>4-701R</t>
  </si>
  <si>
    <t>4-702OS</t>
  </si>
  <si>
    <t>8"Corner Applicator-Original Style</t>
  </si>
  <si>
    <t>4-702OSR</t>
  </si>
  <si>
    <t>REFURB 8"Corner Applicator-Original Style</t>
  </si>
  <si>
    <t>4-702R</t>
  </si>
  <si>
    <t>REFURB 8"Corner Applicator</t>
  </si>
  <si>
    <t>4-747</t>
  </si>
  <si>
    <t>Inside Corner Applicator w/Wheels</t>
  </si>
  <si>
    <t>2-760R</t>
  </si>
  <si>
    <t>REFURB DEWALT Automatic Drywall Taper</t>
  </si>
  <si>
    <t>2-760</t>
  </si>
  <si>
    <t>DXTT-7-760</t>
  </si>
  <si>
    <t>DeWalt  Automatic Taper</t>
  </si>
  <si>
    <t>EU2-760</t>
  </si>
  <si>
    <t>4-760OS</t>
  </si>
  <si>
    <t>Automatic Drywall Taper-Original Style</t>
  </si>
  <si>
    <t>4-760R</t>
  </si>
  <si>
    <t>REFURB Automatic Drywall Taper</t>
  </si>
  <si>
    <t>2-600P</t>
  </si>
  <si>
    <t>DEWALT Pro Tap-Fin Set w/M Ext Hndls-P</t>
  </si>
  <si>
    <t>Auto Tool Sets</t>
  </si>
  <si>
    <t>DXTT-2-601P</t>
  </si>
  <si>
    <t>2-601P</t>
  </si>
  <si>
    <t>DEWALT Pro Tap-Fin Set w/LG Ext Hndls-P</t>
  </si>
  <si>
    <t>DXTT-2-602</t>
  </si>
  <si>
    <t>2-602</t>
  </si>
  <si>
    <t>DEWALT Tap-Fin Set w/M Ext Hndls</t>
  </si>
  <si>
    <t>DXTT-2-602P</t>
  </si>
  <si>
    <t>2-602P</t>
  </si>
  <si>
    <t>DEWALT Tap-Fin Set w/M Ext Hndls-P</t>
  </si>
  <si>
    <t>DXTT-2-603</t>
  </si>
  <si>
    <t>2-603</t>
  </si>
  <si>
    <t>DEWALT Mudshot+CF  Set w/M Ext Hndls</t>
  </si>
  <si>
    <t>DXTT-2-604</t>
  </si>
  <si>
    <t>2-604</t>
  </si>
  <si>
    <t>DEWALT CF+CA Set w/M Ext Hndls</t>
  </si>
  <si>
    <t>2-605</t>
  </si>
  <si>
    <t>DEWALT Flat Box Set 10"/12"w/M Ext Hndl</t>
  </si>
  <si>
    <t>DXTT-2-610</t>
  </si>
  <si>
    <t>2-610</t>
  </si>
  <si>
    <t>DEWALT MEGA Box Taping Set w/M Ext Hndls</t>
  </si>
  <si>
    <t>DXTT-2-610P</t>
  </si>
  <si>
    <t>2-610P</t>
  </si>
  <si>
    <t>DEWALT MEGA Box Taping Set w/MExtHndls-P</t>
  </si>
  <si>
    <t>DXTT-2-611P</t>
  </si>
  <si>
    <t>2-611P</t>
  </si>
  <si>
    <t>DEWALT MEGA Taping Set w/LG Ext Hndls-P</t>
  </si>
  <si>
    <t>DXTT-2-614P</t>
  </si>
  <si>
    <t>2-614P</t>
  </si>
  <si>
    <t>DEWALT MEGA Pro Taping w/LG Ext Hndls-P</t>
  </si>
  <si>
    <t>2-615</t>
  </si>
  <si>
    <t>DEWALT MEGA Set 10"/12"w/40"-62"Ext Hndl</t>
  </si>
  <si>
    <t>2-616P</t>
  </si>
  <si>
    <t>DEWALT MEGA Pro Taping Set w/MExtHndls-P</t>
  </si>
  <si>
    <t>DXTT-2-617P</t>
  </si>
  <si>
    <t>2-617P</t>
  </si>
  <si>
    <t>DEWALT Ultimate Tap-Fin Tool Set w/MS-P</t>
  </si>
  <si>
    <t>DXTT-2-630</t>
  </si>
  <si>
    <t>2-630</t>
  </si>
  <si>
    <t>DEWALT Mudshot Combo Set</t>
  </si>
  <si>
    <t>DXTT-2-631</t>
  </si>
  <si>
    <t>2-631</t>
  </si>
  <si>
    <t>DEWALT Mudshot w/3.5"CF</t>
  </si>
  <si>
    <t>4-501</t>
  </si>
  <si>
    <t>7"Corner Applicator w/50"Fixed Hndl</t>
  </si>
  <si>
    <t>4-501OS</t>
  </si>
  <si>
    <t>7"Corner Applicator w/50"Fixed Hndl Original Style</t>
  </si>
  <si>
    <t>4-502</t>
  </si>
  <si>
    <t>8"Corner Applicator w/50"Fixed Hndl</t>
  </si>
  <si>
    <t>4-502OS</t>
  </si>
  <si>
    <t>8"Corner Applicator w/50"Fixed Hndl Original Style</t>
  </si>
  <si>
    <t>4-503</t>
  </si>
  <si>
    <t>Corner Roller w/30"-50"Ext Hndl</t>
  </si>
  <si>
    <t>4-507</t>
  </si>
  <si>
    <t>Corner Roller w/50"Fixed Hndl</t>
  </si>
  <si>
    <t>4-507OS</t>
  </si>
  <si>
    <t>Corner Roller w/50"Fixed Hndl Original Style</t>
  </si>
  <si>
    <t>4-508</t>
  </si>
  <si>
    <t>7"CA w/40"-58"Ext Hndl</t>
  </si>
  <si>
    <t>4-508R</t>
  </si>
  <si>
    <t>REFURB 7"CA w/40"-58"Ext Hndl</t>
  </si>
  <si>
    <t>4-509</t>
  </si>
  <si>
    <t>8"CA w/40"-58"Ext Hndl</t>
  </si>
  <si>
    <t>4-510</t>
  </si>
  <si>
    <t>7"CA-3"CF w/50"Fixed Hndl</t>
  </si>
  <si>
    <t>4-510R</t>
  </si>
  <si>
    <t>REFURB 7"CA-3"CF w/50"Fixed Hndl</t>
  </si>
  <si>
    <t>4-511</t>
  </si>
  <si>
    <t>7"CA-3"CF w/40"-58"Ext Hndl</t>
  </si>
  <si>
    <t>4-512</t>
  </si>
  <si>
    <t>8"CA-3"CF w/50"Fixed Hndl</t>
  </si>
  <si>
    <t>4-513</t>
  </si>
  <si>
    <t>8"CA-3" CF w/40"-58"Ext Hndl</t>
  </si>
  <si>
    <t>4-532</t>
  </si>
  <si>
    <t>2.5"CF w/54"Fixed Hndl</t>
  </si>
  <si>
    <t>4-533</t>
  </si>
  <si>
    <t>3"CF w/54"Fixed Hndl</t>
  </si>
  <si>
    <t>4-534</t>
  </si>
  <si>
    <t>3.5"CF w/54"Fixed Hndl</t>
  </si>
  <si>
    <t>4-535</t>
  </si>
  <si>
    <t>4"CF w/54"Fixed Hndl</t>
  </si>
  <si>
    <t>4-536</t>
  </si>
  <si>
    <t>2.5"CF w/36"-52"Ext Hndl</t>
  </si>
  <si>
    <t>4-537</t>
  </si>
  <si>
    <t>3"CF w/36"-52"Ext Hndl</t>
  </si>
  <si>
    <t>4-538</t>
  </si>
  <si>
    <t>3.5"CF w/36"- 52"Ext Hndl</t>
  </si>
  <si>
    <t>4-539</t>
  </si>
  <si>
    <t>4"CF w/36"- 52"Ext Hndl</t>
  </si>
  <si>
    <t>4-554</t>
  </si>
  <si>
    <t>2"Nail Spotter?w/Fixed Hndl</t>
  </si>
  <si>
    <t>4-554OS</t>
  </si>
  <si>
    <t>2"Nail Spotterw/Fixed Hndl Original Style</t>
  </si>
  <si>
    <t>4-554R</t>
  </si>
  <si>
    <t>REFURB 2"Nail Spotter?w/Fixed Hndl</t>
  </si>
  <si>
    <t>4-555</t>
  </si>
  <si>
    <t>3"Nail Spotter w/Fixed Hndl</t>
  </si>
  <si>
    <t>4-555OS</t>
  </si>
  <si>
    <t>3"Nail Spotter w/Fixed Hndl Original Style</t>
  </si>
  <si>
    <t>4-556</t>
  </si>
  <si>
    <t>2"/3" Nail Spotters w/ Standard Handle</t>
  </si>
  <si>
    <t>4-557</t>
  </si>
  <si>
    <t>2"/3" Nail Spotters w/  Ext. Handle</t>
  </si>
  <si>
    <t>4-564</t>
  </si>
  <si>
    <t>7"Flat Box w/42"Fixed Hndl</t>
  </si>
  <si>
    <t>4-565</t>
  </si>
  <si>
    <t>10"Flat Box w/42"Fixed Hndl</t>
  </si>
  <si>
    <t>4-566</t>
  </si>
  <si>
    <t>12"Flat Box w/42"Fixed Hndl</t>
  </si>
  <si>
    <t>4-567</t>
  </si>
  <si>
    <t>7"MEGA Flat Box w/42"Fixed Hndl</t>
  </si>
  <si>
    <t>4-567R</t>
  </si>
  <si>
    <t>REFURB 7"MEGA Flat Box w/42"Fixed Hndl</t>
  </si>
  <si>
    <t>4-568</t>
  </si>
  <si>
    <t>10"MEGA Flat Box w/42"Fixed Hndl</t>
  </si>
  <si>
    <t>4-568R</t>
  </si>
  <si>
    <t>REFURB 10"MEGA Flat Box w/42"Fixed Hndl</t>
  </si>
  <si>
    <t>4-569</t>
  </si>
  <si>
    <t>12"MEGA?Flat Box w/ 42"Fixed Hndl</t>
  </si>
  <si>
    <t>4-569R</t>
  </si>
  <si>
    <t>REFURB 12"MEGA Flat Box w/ 42"Fixed Hndl</t>
  </si>
  <si>
    <t>4-570</t>
  </si>
  <si>
    <t>2"Nail Spotter?w/36"-52"Ext Hndl</t>
  </si>
  <si>
    <t>4-570OS</t>
  </si>
  <si>
    <t>2"Nail Spotter w/36"-52"Ext Hndl Original Style</t>
  </si>
  <si>
    <t>4-571</t>
  </si>
  <si>
    <t>3"Nail Spotter w/36"- 52"Ext Hndl</t>
  </si>
  <si>
    <t>4-571OS</t>
  </si>
  <si>
    <t>3"Nail Spotter w/36"- 52"Ext Hndl Original Style</t>
  </si>
  <si>
    <t>4-572</t>
  </si>
  <si>
    <t>7"Flat Box w/40"-62"Ext Hndl</t>
  </si>
  <si>
    <t>4-573</t>
  </si>
  <si>
    <t>10"Flat Box w/40"-62"Ext Hndl</t>
  </si>
  <si>
    <t>4-574</t>
  </si>
  <si>
    <t>12"Flat Box w/40"- 62"Ext Hndl</t>
  </si>
  <si>
    <t>4-575</t>
  </si>
  <si>
    <t>7"MEGA Flat Box w/40"-62"Ext Hndl</t>
  </si>
  <si>
    <t>4-576</t>
  </si>
  <si>
    <t>10"MEGA Flat?Box w/40"-62"Ext Hndl</t>
  </si>
  <si>
    <t>4-577</t>
  </si>
  <si>
    <t>12"MEGA Flat Box w/40"- 62"Ext Hndl</t>
  </si>
  <si>
    <t>4-600</t>
  </si>
  <si>
    <t>Taping Finishing Set w/Fixed Hndls</t>
  </si>
  <si>
    <t>4-601</t>
  </si>
  <si>
    <t>Taping Finishing Set w/Ext Hndls</t>
  </si>
  <si>
    <t>Finishing Set w/Fixed Hndls</t>
  </si>
  <si>
    <t>4-603</t>
  </si>
  <si>
    <t>Finishing Set w/Ext Hndls</t>
  </si>
  <si>
    <t>4-603P</t>
  </si>
  <si>
    <t>Finishing Set w/Ext Hndls-P</t>
  </si>
  <si>
    <t>Flat Box Set 10"/12"w/42"Fixed Hndl</t>
  </si>
  <si>
    <t>4-606</t>
  </si>
  <si>
    <t>MEGA 10/12" Taping Set w/Fixed Hndls</t>
  </si>
  <si>
    <t>4-606P</t>
  </si>
  <si>
    <t>MEGA 10/12" Taping Set w/Fixed Hndls w/Bonus Items</t>
  </si>
  <si>
    <t>4-607</t>
  </si>
  <si>
    <t>MEGA 10/12" Taping Set w/Ext Hndls</t>
  </si>
  <si>
    <t>4-607P</t>
  </si>
  <si>
    <t>MEGA 10/12" Taping Set w/Ext Hndls w/Bonus Items</t>
  </si>
  <si>
    <t>4-608</t>
  </si>
  <si>
    <t>MEGA 10/12"Finish Set w/Fixed Hndls</t>
  </si>
  <si>
    <t>4-608P</t>
  </si>
  <si>
    <t>MEGA Finishing Set with 10"/12" Flat Box and Standard Handles w/Bonus Items</t>
  </si>
  <si>
    <t>4-609</t>
  </si>
  <si>
    <t>MEGA 10/12"Finish Set w/Ext Hndls</t>
  </si>
  <si>
    <t>4-609P</t>
  </si>
  <si>
    <t>MEGA 10/12"Finish Set w/Ext Hndls w/Bonus Items</t>
  </si>
  <si>
    <t>4-610</t>
  </si>
  <si>
    <t>MEGA Box Taping Set w/Fixed Hndls</t>
  </si>
  <si>
    <t>4-610P</t>
  </si>
  <si>
    <t>MEGA Box Taping Set w/Fixed Hndls-P</t>
  </si>
  <si>
    <t>4-611</t>
  </si>
  <si>
    <t>MEGA Box Taping Set w/Ext Hndls</t>
  </si>
  <si>
    <t>4-611P</t>
  </si>
  <si>
    <t>MEGA Box Taping Set w/Ext Hndls-P</t>
  </si>
  <si>
    <t>4-612</t>
  </si>
  <si>
    <t>MEGA Box Finishing Set w/Fixed Hndls</t>
  </si>
  <si>
    <t>4-613</t>
  </si>
  <si>
    <t>MEGA Box Finishing Set w/Ext Hndls</t>
  </si>
  <si>
    <t>4-613P</t>
  </si>
  <si>
    <t>MEGA Box Finishing Set w/Ext Hndls-P</t>
  </si>
  <si>
    <t>4-614</t>
  </si>
  <si>
    <t>MEGA Box Set 7"/10"w/42"Fixed Hndl</t>
  </si>
  <si>
    <t>4-615</t>
  </si>
  <si>
    <t>MEGA Box Set 7"/10"w/40"-62"Ext Hndl</t>
  </si>
  <si>
    <t>4-617</t>
  </si>
  <si>
    <t>Ultimate Taping Finishing Set</t>
  </si>
  <si>
    <t>Ultimate Taping Finishing  Set-P</t>
  </si>
  <si>
    <t>4-620</t>
  </si>
  <si>
    <t>Pro Tap-Fin Set w/Fixed Hndls</t>
  </si>
  <si>
    <t>4-620P</t>
  </si>
  <si>
    <t>Pro Tap-Fin Set w/Fixed Hndls-P</t>
  </si>
  <si>
    <t>4-621</t>
  </si>
  <si>
    <t>Pro Tap-Fin Set w/Ext Hndls</t>
  </si>
  <si>
    <t>4-621P</t>
  </si>
  <si>
    <t>Pro Tap-Fin Set w/Ext Hndls-P</t>
  </si>
  <si>
    <t>4-622</t>
  </si>
  <si>
    <t>Pro Finishing Set w/Fixed Hndls</t>
  </si>
  <si>
    <t>4-622P</t>
  </si>
  <si>
    <t>Pro Finishing Set w/Fixed Hndls-P</t>
  </si>
  <si>
    <t>4-623</t>
  </si>
  <si>
    <t>Pro Finishing Set w/Ext Hndls</t>
  </si>
  <si>
    <t>4-623P</t>
  </si>
  <si>
    <t>Pro Finishing Set with Ext Hndls-P</t>
  </si>
  <si>
    <t>4-624</t>
  </si>
  <si>
    <t>MEGA BX Tap-Fin Set w/Fixed Hndls</t>
  </si>
  <si>
    <t>4-625</t>
  </si>
  <si>
    <t>MEGA BX Tap-Fin Set w/Ext Hndls</t>
  </si>
  <si>
    <t>4-626</t>
  </si>
  <si>
    <t>MEGA BX Finishing Set w/Fix Hndls</t>
  </si>
  <si>
    <t>4-626P</t>
  </si>
  <si>
    <t>MEGA BX Finishing Set w/Fix Hndls-P</t>
  </si>
  <si>
    <t>4-627</t>
  </si>
  <si>
    <t>MEGA BX Finishing Set w/Ext Hndls</t>
  </si>
  <si>
    <t>4-627P</t>
  </si>
  <si>
    <t>MEGA BX Finishing Set w/Ext Hndls-P</t>
  </si>
  <si>
    <t>4-628</t>
  </si>
  <si>
    <t>MEGA BX Combo 10"/12"w/42"Fixed Hndl</t>
  </si>
  <si>
    <t>4-629</t>
  </si>
  <si>
    <t>MEGA BX Combo 10"/12"w/Ext Hndl</t>
  </si>
  <si>
    <t>Starter Taping Set</t>
  </si>
  <si>
    <t>4-640</t>
  </si>
  <si>
    <t>Flat Box Set 7"/10"w/42"Fixed Hndl</t>
  </si>
  <si>
    <t>4-641</t>
  </si>
  <si>
    <t>Flat Box Set 7"/12"w/Ext Hndl</t>
  </si>
  <si>
    <t>Taping Finishing Set + MiniShot</t>
  </si>
  <si>
    <t>4-660R</t>
  </si>
  <si>
    <t>REFURB Taping Finishing Set + MiniShot</t>
  </si>
  <si>
    <t>4-661</t>
  </si>
  <si>
    <t>Taping Finishing Set w/ Ext Hndls + MiniShot</t>
  </si>
  <si>
    <t>4-661P</t>
  </si>
  <si>
    <t>Taping Finishing Set w/ Ext Hndls + MiniShot - P</t>
  </si>
  <si>
    <t>4-662P</t>
  </si>
  <si>
    <t>Finishing Set + MiniShot - P</t>
  </si>
  <si>
    <t>4-663P</t>
  </si>
  <si>
    <t>Finishing Set w/ Ext. Hndls + MiniShot - P</t>
  </si>
  <si>
    <t>4-666P</t>
  </si>
  <si>
    <t>MEGA Full Taping Set 10"/12" + MiniShot - P</t>
  </si>
  <si>
    <t>4-667P</t>
  </si>
  <si>
    <t>MEGA Full Taping Set 10"/12"w/Ext.Hndls + MiniShot - P</t>
  </si>
  <si>
    <t>4-668P</t>
  </si>
  <si>
    <t>MEGA Finishing Set 10"/12" + MiniShot - P</t>
  </si>
  <si>
    <t>4-669P</t>
  </si>
  <si>
    <t>MEGA Finishing Set 10"/12"w/Ext.Hndls + MiniShot - P</t>
  </si>
  <si>
    <t>4-670P</t>
  </si>
  <si>
    <t>MEGA Full Taping Set 7"/10" + MiniShot - P</t>
  </si>
  <si>
    <t>4-671P</t>
  </si>
  <si>
    <t>MEGA Full Taping Set 7"/10"w/Ext. Hndls + MiniShot - P</t>
  </si>
  <si>
    <t>4-672P</t>
  </si>
  <si>
    <t>MEGA Finishing Set 7"/10"+ MiniShot - P</t>
  </si>
  <si>
    <t>4-673P</t>
  </si>
  <si>
    <t>MEGA Finishing Set 7"/10"w/ Ext. Hndls + MiniShot - P</t>
  </si>
  <si>
    <t>Ultimate Taping Set + MiniShot</t>
  </si>
  <si>
    <t>4-680P</t>
  </si>
  <si>
    <t>Full Taping Set w/ 2 CF + MiniShot - P</t>
  </si>
  <si>
    <t>4-681</t>
  </si>
  <si>
    <t>Full Taping Set w/Ext. Hndls + 2CF + MiniShot</t>
  </si>
  <si>
    <t>4-681P</t>
  </si>
  <si>
    <t>Full Taping Set w/Ext. Hndls + 2CF + MiniShot - P</t>
  </si>
  <si>
    <t>4-682P</t>
  </si>
  <si>
    <t>Finishing Set w/ 2 CF + MiniShot - P</t>
  </si>
  <si>
    <t>4-683P</t>
  </si>
  <si>
    <t>Finishing Set w/ Ext. Hndls + 2 CF + MiniShot - P</t>
  </si>
  <si>
    <t>4-684P</t>
  </si>
  <si>
    <t>MEGA Full Taping Set + 2 CF + MiniShot - P</t>
  </si>
  <si>
    <t>4-685P</t>
  </si>
  <si>
    <t>MEGA Full Taping Set w/Ext. Hndls + 2 CF + MiniShot - P</t>
  </si>
  <si>
    <t>4-686P</t>
  </si>
  <si>
    <t>MEGA Finishing Set + 2 CF + MiniShot - P</t>
  </si>
  <si>
    <t>4-687P</t>
  </si>
  <si>
    <t>MEGA Finishing Set w/Ext. Hndls + 2 CF + MiniShot - P</t>
  </si>
  <si>
    <t>4-776</t>
  </si>
  <si>
    <t>Corner Tool Fixed Handle Set</t>
  </si>
  <si>
    <t>4-790</t>
  </si>
  <si>
    <t>Corner Tool Ext Handle Set</t>
  </si>
  <si>
    <t>2-772R</t>
  </si>
  <si>
    <t>REFURB DEWALT MudShot</t>
  </si>
  <si>
    <t>DXTT-2-749</t>
  </si>
  <si>
    <t>2-749</t>
  </si>
  <si>
    <t xml:space="preserve">DEWALT CT Box Filler Attachment </t>
  </si>
  <si>
    <t>2-772</t>
  </si>
  <si>
    <t>DXTT-2-772U</t>
  </si>
  <si>
    <t>2-772U</t>
  </si>
  <si>
    <t>DEWALT Mudshot Without Cylinder</t>
  </si>
  <si>
    <t>EU2-772</t>
  </si>
  <si>
    <t>4-772R</t>
  </si>
  <si>
    <t>REFURB Mini-Shot Compound Dispenser</t>
  </si>
  <si>
    <t>4-774R</t>
  </si>
  <si>
    <t>REFURB Compound Tube</t>
  </si>
  <si>
    <t>2-715R</t>
  </si>
  <si>
    <t>REFURB DEWALT Flat Box Filler</t>
  </si>
  <si>
    <t>2-771R</t>
  </si>
  <si>
    <t>REFURB DEWALT Compound Pump w/Filler</t>
  </si>
  <si>
    <t>2-715</t>
  </si>
  <si>
    <t>2-771</t>
  </si>
  <si>
    <t>DEWALT Compound Pump w/Filler</t>
  </si>
  <si>
    <t>DXTT-7-771</t>
  </si>
  <si>
    <t>EU2-715</t>
  </si>
  <si>
    <t>EU2-771</t>
  </si>
  <si>
    <t>4-715R</t>
  </si>
  <si>
    <t>REFURB Flat Box Filler</t>
  </si>
  <si>
    <t>4-771OS</t>
  </si>
  <si>
    <t>Compound Pump w/Filler-Original Style</t>
  </si>
  <si>
    <t>4-771R</t>
  </si>
  <si>
    <t>REFURB Compound Pump w/Filler</t>
  </si>
  <si>
    <t>2-701R</t>
  </si>
  <si>
    <t>REFURB DEWALT 7" Corner Applicator</t>
  </si>
  <si>
    <t>Corner Applicators</t>
  </si>
  <si>
    <t>2-732R</t>
  </si>
  <si>
    <t>REFURB DEWALT 2.5"Corner Finisher</t>
  </si>
  <si>
    <t>2-733R</t>
  </si>
  <si>
    <t>REFURB DEWALT 3" Corner Finisher</t>
  </si>
  <si>
    <t>2-734R</t>
  </si>
  <si>
    <t>REFURB DEWALT 3.5" Corner Finisher</t>
  </si>
  <si>
    <t>2-735R</t>
  </si>
  <si>
    <t>REFURB DEWALT 4" Corner Finisher</t>
  </si>
  <si>
    <t>2-732</t>
  </si>
  <si>
    <t>2-733</t>
  </si>
  <si>
    <t>2-734</t>
  </si>
  <si>
    <t>2-735</t>
  </si>
  <si>
    <t>EU2-732</t>
  </si>
  <si>
    <t>EU2-733</t>
  </si>
  <si>
    <t>EU2-734</t>
  </si>
  <si>
    <t>EU2-735</t>
  </si>
  <si>
    <t>4-732R</t>
  </si>
  <si>
    <t>REFURB 2.5"Corner Finisher</t>
  </si>
  <si>
    <t>4-732S</t>
  </si>
  <si>
    <t>2.5"Corner Finisher-Slvr</t>
  </si>
  <si>
    <t>4-732SR</t>
  </si>
  <si>
    <t>REFURB 2.5"Corner Finisher-Slvr</t>
  </si>
  <si>
    <t>4-733R</t>
  </si>
  <si>
    <t>REFURB 3"Corner Finisher</t>
  </si>
  <si>
    <t>4-733S</t>
  </si>
  <si>
    <t>3"Corner Finisher-Slvr</t>
  </si>
  <si>
    <t>4-733SR</t>
  </si>
  <si>
    <t>REFURB 3"Corner Finisher-Slvr</t>
  </si>
  <si>
    <t>4-734R</t>
  </si>
  <si>
    <t>REFURB 3.5"Corner Finisher</t>
  </si>
  <si>
    <t>4-734S</t>
  </si>
  <si>
    <t>3.5"Corner Finisher-Silver</t>
  </si>
  <si>
    <t>4-734SR</t>
  </si>
  <si>
    <t>REFURB 3.5" Corner Finisher Silver</t>
  </si>
  <si>
    <t>4-735R</t>
  </si>
  <si>
    <t>REFURB 4"Corner Finisher</t>
  </si>
  <si>
    <t>4-735S</t>
  </si>
  <si>
    <t>4" Corner Finisher-Silver</t>
  </si>
  <si>
    <t>4-735SR</t>
  </si>
  <si>
    <t>REFURB 4" Corner Finisher-Silver</t>
  </si>
  <si>
    <t>2-764R</t>
  </si>
  <si>
    <t>REFURB DEWALT 7" Standard Flat Box</t>
  </si>
  <si>
    <t>2-765R</t>
  </si>
  <si>
    <t>REFURB DEWALT 10"Standard Flat Box</t>
  </si>
  <si>
    <t>2-766R</t>
  </si>
  <si>
    <t>REFURB DEWALT 12"Standard Flat Box</t>
  </si>
  <si>
    <t>2-767R</t>
  </si>
  <si>
    <t>REFURB DEWALT 7"MEGA Flat Box</t>
  </si>
  <si>
    <t>2-768R</t>
  </si>
  <si>
    <t>REFURB DEWALT 10"MEGA Flat Box</t>
  </si>
  <si>
    <t>2-769R</t>
  </si>
  <si>
    <t>REFURB DEWALT 12"MEGA Flat Box</t>
  </si>
  <si>
    <t>2-770R</t>
  </si>
  <si>
    <t>REFURB DEWALT 14"Standard Flat Box</t>
  </si>
  <si>
    <t>2-764</t>
  </si>
  <si>
    <t>2-765</t>
  </si>
  <si>
    <t>2-766</t>
  </si>
  <si>
    <t>2-767</t>
  </si>
  <si>
    <t>2-768</t>
  </si>
  <si>
    <t>2-769</t>
  </si>
  <si>
    <t>2-770</t>
  </si>
  <si>
    <t>DXTT-7-764</t>
  </si>
  <si>
    <t>DeWalt 7" Standard Flat Box</t>
  </si>
  <si>
    <t>DXTT-7-767</t>
  </si>
  <si>
    <t>DeWalt 7" MEGA Flat Box</t>
  </si>
  <si>
    <t>DXTT-7-769</t>
  </si>
  <si>
    <t>DeWalt 12" MEGA Flat Box</t>
  </si>
  <si>
    <t>EU2-764</t>
  </si>
  <si>
    <t>EU2-765</t>
  </si>
  <si>
    <t>EU2-766</t>
  </si>
  <si>
    <t>EU2-767</t>
  </si>
  <si>
    <t>EU2-768</t>
  </si>
  <si>
    <t>EU2-769</t>
  </si>
  <si>
    <t>EU2-770</t>
  </si>
  <si>
    <t>4-722</t>
  </si>
  <si>
    <t>10"Classic Flat Box</t>
  </si>
  <si>
    <t>4-723</t>
  </si>
  <si>
    <t>12"Classic Flat Box</t>
  </si>
  <si>
    <t>4-724</t>
  </si>
  <si>
    <t>14"Classic Flat Box</t>
  </si>
  <si>
    <t>4-761</t>
  </si>
  <si>
    <t>10"Power Assist Mega Box</t>
  </si>
  <si>
    <t>4-762</t>
  </si>
  <si>
    <t>12"Power Assist Mega Box</t>
  </si>
  <si>
    <t>4-763</t>
  </si>
  <si>
    <t>14"Power Assist Mega Box</t>
  </si>
  <si>
    <t>4-764OS</t>
  </si>
  <si>
    <t>7"Standard Flat Box-Original Style</t>
  </si>
  <si>
    <t>4-764R</t>
  </si>
  <si>
    <t>REFURB 7"Standard Flat Box</t>
  </si>
  <si>
    <t>4-765OS</t>
  </si>
  <si>
    <t>10"Standard Flat Box-Original Style</t>
  </si>
  <si>
    <t>4-765R</t>
  </si>
  <si>
    <t>REFURB 10"Standard Flat Box</t>
  </si>
  <si>
    <t>4-766OS</t>
  </si>
  <si>
    <t>12"Standard Flat Box-Original Style</t>
  </si>
  <si>
    <t>4-766R</t>
  </si>
  <si>
    <t>REFURB 12"Standard Flat Box</t>
  </si>
  <si>
    <t>4-767OS</t>
  </si>
  <si>
    <t>7"MEGA Flat Box-Original Style</t>
  </si>
  <si>
    <t>4-767R</t>
  </si>
  <si>
    <t>REFURB 7"MEGA Flat Box</t>
  </si>
  <si>
    <t>4-768OS</t>
  </si>
  <si>
    <t>10"MEGA Flat Box-Original Style</t>
  </si>
  <si>
    <t>4-768R</t>
  </si>
  <si>
    <t>REFURB 10"MEGA Flat Box</t>
  </si>
  <si>
    <t>4-769OS</t>
  </si>
  <si>
    <t>12"MEGA Flat Box-Original Style</t>
  </si>
  <si>
    <t>4-769R</t>
  </si>
  <si>
    <t>REFURB 12"MEGA Flat Box</t>
  </si>
  <si>
    <t>4-770OS</t>
  </si>
  <si>
    <t>14"Standard Flat Box-Original Style</t>
  </si>
  <si>
    <t>4-770R</t>
  </si>
  <si>
    <t>REFURB 14"Standard Flat Box</t>
  </si>
  <si>
    <t>2-714R</t>
  </si>
  <si>
    <t>REFURB DEWALT Gooseneck</t>
  </si>
  <si>
    <t>2-714</t>
  </si>
  <si>
    <t>EU2-714</t>
  </si>
  <si>
    <t>4-714R</t>
  </si>
  <si>
    <t>REFURB Gooseneck</t>
  </si>
  <si>
    <t>2-759R</t>
  </si>
  <si>
    <t>REFURB DEWALT 48"- 78"Flat Box Ext Hndl</t>
  </si>
  <si>
    <t>2-773R</t>
  </si>
  <si>
    <t>REFURB DEWALT 18" MS Ext Hndl</t>
  </si>
  <si>
    <t>2-780R</t>
  </si>
  <si>
    <t>REFURB DEWALT 40"-62"Flat Box Ext Hndl</t>
  </si>
  <si>
    <t>2-781R</t>
  </si>
  <si>
    <t>REFURB DEWALT 30"-42"Flat Box Ext Hndl</t>
  </si>
  <si>
    <t>2-782R</t>
  </si>
  <si>
    <t>REFURB DEWALT 23"-32"Flat Box Ext Hndl</t>
  </si>
  <si>
    <t>2-792R</t>
  </si>
  <si>
    <t>REFURB DEWALT 36"-52"Corner Roller Ext Hndl</t>
  </si>
  <si>
    <t>2-794R</t>
  </si>
  <si>
    <t>REFURB DEWALT 40"-58"Corner Applicator Ext Hndl</t>
  </si>
  <si>
    <t>2-795R</t>
  </si>
  <si>
    <t>REFURB DEWALT 39"-57"Corner Finisher Ext Hndl</t>
  </si>
  <si>
    <t>2-796R</t>
  </si>
  <si>
    <t>REFURB DEWALT 47"-77"Corner Roller Ext Hndl</t>
  </si>
  <si>
    <t>2-798R</t>
  </si>
  <si>
    <t>REFURB DEWALT 47"-77"Corner Applicator Ext Hndl</t>
  </si>
  <si>
    <t>2-799R</t>
  </si>
  <si>
    <t>REFURB DEWALT 50"-80"Corner Finisher Ext Hndl</t>
  </si>
  <si>
    <t>2-879R</t>
  </si>
  <si>
    <t>REFURB DEWALT Corner Finisher Head</t>
  </si>
  <si>
    <t>2-880R</t>
  </si>
  <si>
    <t>REFURB-DEWALT 39"-57"Ext Hndl-no head</t>
  </si>
  <si>
    <t>2-881R</t>
  </si>
  <si>
    <t>REFURB DEWALT 47"-77"Ext Hndl-no head</t>
  </si>
  <si>
    <t>2-759</t>
  </si>
  <si>
    <t>2-773</t>
  </si>
  <si>
    <t>2-780</t>
  </si>
  <si>
    <t>2-781</t>
  </si>
  <si>
    <t>2-782</t>
  </si>
  <si>
    <t>DXTT-2-790</t>
  </si>
  <si>
    <t>2-790</t>
  </si>
  <si>
    <t>DEWALT Corner Tool Ext Handle Set</t>
  </si>
  <si>
    <t>2-792</t>
  </si>
  <si>
    <t>2-794</t>
  </si>
  <si>
    <t>2-795</t>
  </si>
  <si>
    <t>2-796</t>
  </si>
  <si>
    <t>2-798</t>
  </si>
  <si>
    <t>2-799</t>
  </si>
  <si>
    <t>2-877</t>
  </si>
  <si>
    <t>2-878</t>
  </si>
  <si>
    <t>2-879</t>
  </si>
  <si>
    <t>2-880</t>
  </si>
  <si>
    <t>2-881</t>
  </si>
  <si>
    <t>EU2-759</t>
  </si>
  <si>
    <t>EU2-773</t>
  </si>
  <si>
    <t>EU2-780</t>
  </si>
  <si>
    <t>EU2-781</t>
  </si>
  <si>
    <t>EU2-782</t>
  </si>
  <si>
    <t>EU2-792</t>
  </si>
  <si>
    <t>EU2-794</t>
  </si>
  <si>
    <t>EU2-795</t>
  </si>
  <si>
    <t>EU2-796</t>
  </si>
  <si>
    <t>EU2-798</t>
  </si>
  <si>
    <t>EU2-799</t>
  </si>
  <si>
    <t>EU2-877</t>
  </si>
  <si>
    <t>EU2-878</t>
  </si>
  <si>
    <t>EU2-879</t>
  </si>
  <si>
    <t>EU2-880</t>
  </si>
  <si>
    <t>EU2-881</t>
  </si>
  <si>
    <t>4-711R</t>
  </si>
  <si>
    <t>REFURB 34"Flat Box Fixed Hndl</t>
  </si>
  <si>
    <t>4-712R</t>
  </si>
  <si>
    <t>REFURB 42"Flat Box Fixed Hndl</t>
  </si>
  <si>
    <t>4-729R</t>
  </si>
  <si>
    <t>REFURB 54" Bent Box Handle</t>
  </si>
  <si>
    <t>4-740R</t>
  </si>
  <si>
    <t>REFURB 54"Fixed Flat Box Hndl</t>
  </si>
  <si>
    <t>4-756R</t>
  </si>
  <si>
    <t>REFURB 57"Nail Spotter Fixed Hndl</t>
  </si>
  <si>
    <t>4-757R</t>
  </si>
  <si>
    <t>REFURB 36"-54"Nail Spotter Ext Hndl</t>
  </si>
  <si>
    <t>4-758R</t>
  </si>
  <si>
    <t>REFURB 47"- 77"Nail Spotter Ext Hndl</t>
  </si>
  <si>
    <t>4-759R</t>
  </si>
  <si>
    <t>REFURB 48"- 78"Flat Box Ext Hndl</t>
  </si>
  <si>
    <t>4-775</t>
  </si>
  <si>
    <t>Finisher/Roller Dual Handle</t>
  </si>
  <si>
    <t>4-777OS</t>
  </si>
  <si>
    <t>Corner Roller Handle-Original Style</t>
  </si>
  <si>
    <t>4-777OSR</t>
  </si>
  <si>
    <t>REFURB Corner Roller Handle-Original Style</t>
  </si>
  <si>
    <t>4-777R</t>
  </si>
  <si>
    <t>REFURB 50"Corner Roller Fixed Hndl</t>
  </si>
  <si>
    <t>4-778OS</t>
  </si>
  <si>
    <t>Corner App. Handle-Original Style</t>
  </si>
  <si>
    <t>4-778OSR</t>
  </si>
  <si>
    <t>REFURB Corner App. Handle-Original Style</t>
  </si>
  <si>
    <t>4-778R</t>
  </si>
  <si>
    <t>REFURB 50"Corner Applicator Fixed Hndl</t>
  </si>
  <si>
    <t>4-779R</t>
  </si>
  <si>
    <t>REFURB 54"Corner Finisher Hndl</t>
  </si>
  <si>
    <t>4-780R</t>
  </si>
  <si>
    <t>REFURB 40"-62"Flat Box Ext Hndl</t>
  </si>
  <si>
    <t>4-781R</t>
  </si>
  <si>
    <t>REFURB 30"-42"Flat Box Ext Hndl</t>
  </si>
  <si>
    <t>4-782R</t>
  </si>
  <si>
    <t>REFURB 23"-32"Flat Box Ext Hndl</t>
  </si>
  <si>
    <t>4-792R</t>
  </si>
  <si>
    <t>REFURB 36"-52"Corner Roller Ext Hndl</t>
  </si>
  <si>
    <t>4-794R</t>
  </si>
  <si>
    <t>REFURB 40"-58"Corner Applicator Ext Hndl</t>
  </si>
  <si>
    <t>4-795R</t>
  </si>
  <si>
    <t>REFURB 39"-57"Corner Finisher Ext Hndl</t>
  </si>
  <si>
    <t>4-796R</t>
  </si>
  <si>
    <t>REFURB 47"-77"Corner Roller Ext Hndl</t>
  </si>
  <si>
    <t>4-798R</t>
  </si>
  <si>
    <t>REFURB 47"-77"Corner Applicator Ext Hndl</t>
  </si>
  <si>
    <t>4-799R</t>
  </si>
  <si>
    <t>REFURB 50"-80"Corner Finisher Ext Hndl</t>
  </si>
  <si>
    <t>4-877R</t>
  </si>
  <si>
    <t>REFURB Corner Roller Head</t>
  </si>
  <si>
    <t>4-880R</t>
  </si>
  <si>
    <t>REFURB 39"-57"Ext Hndl-no head</t>
  </si>
  <si>
    <t>4-881R</t>
  </si>
  <si>
    <t>REFURB 47"-77"Ext Hndl-no head</t>
  </si>
  <si>
    <t>2-707R</t>
  </si>
  <si>
    <t>REFURB DEWALT Corner Roller</t>
  </si>
  <si>
    <t>2-707</t>
  </si>
  <si>
    <t>EU2-707</t>
  </si>
  <si>
    <t>DEWALT Corner Roller</t>
  </si>
  <si>
    <t>4-707OS</t>
  </si>
  <si>
    <t>Corner Roller Original Style</t>
  </si>
  <si>
    <t>4-707R</t>
  </si>
  <si>
    <t>REFURB Corner Roller</t>
  </si>
  <si>
    <t>4-708</t>
  </si>
  <si>
    <t>Classic Corner Roller</t>
  </si>
  <si>
    <t>2-754</t>
  </si>
  <si>
    <t>2-755</t>
  </si>
  <si>
    <t>4-754OS</t>
  </si>
  <si>
    <t>2"Nail Spotter-Original Style</t>
  </si>
  <si>
    <t>4-754OSR</t>
  </si>
  <si>
    <t>REFURB 2"Nail Spotter-Original Style</t>
  </si>
  <si>
    <t>4-754R</t>
  </si>
  <si>
    <t>REFURB 2"Nail Spotter</t>
  </si>
  <si>
    <t>4-755OS</t>
  </si>
  <si>
    <t>3"Nail Spotter-Original Style</t>
  </si>
  <si>
    <t>4-755OSR</t>
  </si>
  <si>
    <t>REFURB 3"Nail Spotter-Original Style</t>
  </si>
  <si>
    <t>4-755R</t>
  </si>
  <si>
    <t>REFURB 3"Nail Spotter</t>
  </si>
  <si>
    <t>4-875R</t>
  </si>
  <si>
    <t>REFURB Nail Spotter Head</t>
  </si>
  <si>
    <t>MudShot Nozzle Assembly</t>
  </si>
  <si>
    <t>DEWALT Double Threaded Mudshot Connector</t>
  </si>
  <si>
    <t>DEWALT Taper Tube</t>
  </si>
  <si>
    <t>DeWalt Ext Box Handle Head</t>
  </si>
  <si>
    <t>2-774R</t>
  </si>
  <si>
    <t>REFURB DEWALT MS Pressurized Applicator Tube</t>
  </si>
  <si>
    <t>9191DW</t>
  </si>
  <si>
    <t>Wrench -DeWalt Customer  MCM-7122A14</t>
  </si>
  <si>
    <t>DXTT-1104</t>
  </si>
  <si>
    <t>Threaded Extension End</t>
  </si>
  <si>
    <t>DXTT-1105</t>
  </si>
  <si>
    <t>Rubber Handle Grip</t>
  </si>
  <si>
    <t>DXTT-1112</t>
  </si>
  <si>
    <t>Top/Bottom Support Band</t>
  </si>
  <si>
    <t>DXTT-1114</t>
  </si>
  <si>
    <t>Band Assembly</t>
  </si>
  <si>
    <t>DXTT-1115</t>
  </si>
  <si>
    <t>Latch Screw Bracket</t>
  </si>
  <si>
    <t>DXTT-1122</t>
  </si>
  <si>
    <t>Screw 4-40</t>
  </si>
  <si>
    <t>DXTT-1123</t>
  </si>
  <si>
    <t>Small Bracket for Support Band</t>
  </si>
  <si>
    <t>DXTT-1127</t>
  </si>
  <si>
    <t>Mud Shot Valve Stem</t>
  </si>
  <si>
    <t>DXTT-1129</t>
  </si>
  <si>
    <t>DXTT-1135</t>
  </si>
  <si>
    <t>Cylinder/Rod Connector</t>
  </si>
  <si>
    <t>DXTT-1301</t>
  </si>
  <si>
    <t>Compound Tube Angle Head Ball</t>
  </si>
  <si>
    <t>DXTT-1302</t>
  </si>
  <si>
    <t>Plastic Angle Head Attachment</t>
  </si>
  <si>
    <t>DXTT-1303</t>
  </si>
  <si>
    <t>Compound Tube Rubber Gasket</t>
  </si>
  <si>
    <t>DXTT-1308</t>
  </si>
  <si>
    <t>Compound Tube Trigger</t>
  </si>
  <si>
    <t>DXTT-1314</t>
  </si>
  <si>
    <t>Plastic Compound Tube Insert</t>
  </si>
  <si>
    <t>DXTT-1318</t>
  </si>
  <si>
    <t>Compound Tube Inner Metal Insert</t>
  </si>
  <si>
    <t>DXTT-1319</t>
  </si>
  <si>
    <t>Compound Tube Metal Washer</t>
  </si>
  <si>
    <t>DXTT-1321</t>
  </si>
  <si>
    <t>Compound Tube Plunger Cup Bolt</t>
  </si>
  <si>
    <t>DXTT-1322</t>
  </si>
  <si>
    <t>Plastic Box Filler Attachment (Compound Tube)</t>
  </si>
  <si>
    <t>DXTT-1323</t>
  </si>
  <si>
    <t>Compound Tube Rubber Washer</t>
  </si>
  <si>
    <t>DXTT-1324</t>
  </si>
  <si>
    <t>Metal Filler Attachment (Compound Tube)</t>
  </si>
  <si>
    <t>DXTT-2301</t>
  </si>
  <si>
    <t>Box Wheel Bolt</t>
  </si>
  <si>
    <t>DXTT-2314</t>
  </si>
  <si>
    <t>DXTT-2318</t>
  </si>
  <si>
    <t>7" Corner Applicator Plate</t>
  </si>
  <si>
    <t>DXTT-2330</t>
  </si>
  <si>
    <t>DXTT-2355</t>
  </si>
  <si>
    <t>DXTT-2510</t>
  </si>
  <si>
    <t>DEWALT C.F. Shoulder Screw</t>
  </si>
  <si>
    <t>DXTT-2624</t>
  </si>
  <si>
    <t>DXTT-2719</t>
  </si>
  <si>
    <t>Black Box Wheel</t>
  </si>
  <si>
    <t>DXTT-2-774</t>
  </si>
  <si>
    <t>2-774</t>
  </si>
  <si>
    <t>DEWALT MS Pressurized Applicator Tube</t>
  </si>
  <si>
    <t>2-801</t>
  </si>
  <si>
    <t>DEWALT Pump Rebuild Kit</t>
  </si>
  <si>
    <t>2-805</t>
  </si>
  <si>
    <t>DEWALT 7"Flat Box Seal</t>
  </si>
  <si>
    <t>2-806</t>
  </si>
  <si>
    <t>DEWALT 10"Flat Box Seal</t>
  </si>
  <si>
    <t>2-807</t>
  </si>
  <si>
    <t>DEWALT 12"Flat Box Seal</t>
  </si>
  <si>
    <t>DXTT-9685</t>
  </si>
  <si>
    <t>MR Gas Cylinder</t>
  </si>
  <si>
    <t>6-32 x 3/8 Fillister Screw SST</t>
  </si>
  <si>
    <t>4-40 X 3/16 Truss Head Screw</t>
  </si>
  <si>
    <t>Collar Bushing</t>
  </si>
  <si>
    <t>4-40 x 5/32 Bind Head Screw</t>
  </si>
  <si>
    <t>Chain Keeper</t>
  </si>
  <si>
    <t>6-32 x 5/8 Flat Head Screw</t>
  </si>
  <si>
    <t>2/56 x 1/8 Bind Head Screw</t>
  </si>
  <si>
    <t>Gooser Release Cam</t>
  </si>
  <si>
    <t>Gooser Guide</t>
  </si>
  <si>
    <t>Cover Plate</t>
  </si>
  <si>
    <t>Cutoff Spring Cover</t>
  </si>
  <si>
    <t>Long Creaser Assembly</t>
  </si>
  <si>
    <t>Screw Block</t>
  </si>
  <si>
    <t>SS Cup Point Set Screw, 6-32 Thread, 1/8" Long</t>
  </si>
  <si>
    <t>6-32 x 1/2 FillisterHeadScrew</t>
  </si>
  <si>
    <t>8-32x1-1/2 RH Screw</t>
  </si>
  <si>
    <t>Short Creaser Assembly</t>
  </si>
  <si>
    <t>Taper Head</t>
  </si>
  <si>
    <t>#4-40 x 1/4 FH Screw</t>
  </si>
  <si>
    <t>Tape Runner Assembly</t>
  </si>
  <si>
    <t>Side Plate</t>
  </si>
  <si>
    <t>SS UCFSL MS 4-40 x 1/8 FH Screw</t>
  </si>
  <si>
    <t>6-32 X 1/4 FH Screw</t>
  </si>
  <si>
    <t>Drive Shaft</t>
  </si>
  <si>
    <t>Bind Head Type Z Self Tap#5/16</t>
  </si>
  <si>
    <t>Cam, Paper Feed</t>
  </si>
  <si>
    <t>Chain Roller Support (Left)</t>
  </si>
  <si>
    <t>Hub</t>
  </si>
  <si>
    <t>Bearing Bracket</t>
  </si>
  <si>
    <t>1/4-20 Hex Castle Nut</t>
  </si>
  <si>
    <t>Plunger Cup Washer</t>
  </si>
  <si>
    <t>1/4-20 X 3/4" HH Screw</t>
  </si>
  <si>
    <t>1/4-20 Hex Nut</t>
  </si>
  <si>
    <t>5-40 x 3/4" Rd Head Screw SST</t>
  </si>
  <si>
    <t>5-40 Hex Flex Lock Nut</t>
  </si>
  <si>
    <t>Special Washer</t>
  </si>
  <si>
    <t>40-40 x 3/8 BH Screw</t>
  </si>
  <si>
    <t>8-32 x 5/16 Set Screw Cup</t>
  </si>
  <si>
    <t>Bracket, Control Tube</t>
  </si>
  <si>
    <t>Control Tube</t>
  </si>
  <si>
    <t>1/4" Washer</t>
  </si>
  <si>
    <t>10-32 Thin Pattern Stopnut</t>
  </si>
  <si>
    <t>Guide Roller</t>
  </si>
  <si>
    <t>10-32 Special Nut</t>
  </si>
  <si>
    <t>10-32 X 1 FH Screw</t>
  </si>
  <si>
    <t>5-40 X 13/32 BH Screw</t>
  </si>
  <si>
    <t>1/4-20x1/2" FH Screw</t>
  </si>
  <si>
    <t>Creaser Connector</t>
  </si>
  <si>
    <t>Nut 1/4-20 Special Hex Nut</t>
  </si>
  <si>
    <t>Ball Clip Spring</t>
  </si>
  <si>
    <t>3" Carbide Blade</t>
  </si>
  <si>
    <t>Swivel  Coupling Pin</t>
  </si>
  <si>
    <t>Swivel Assembly</t>
  </si>
  <si>
    <t>Coupling</t>
  </si>
  <si>
    <t>#4-40 x 7/32 Bind Head</t>
  </si>
  <si>
    <t>10-24 Locknut</t>
  </si>
  <si>
    <t>7" Bottom Plate</t>
  </si>
  <si>
    <t>10" Bottom Plate</t>
  </si>
  <si>
    <t>12" Bottom Plate</t>
  </si>
  <si>
    <t>14" Bottom Plate</t>
  </si>
  <si>
    <t>7" Front Plate</t>
  </si>
  <si>
    <t>10" Front Plate</t>
  </si>
  <si>
    <t>12" Front Plate</t>
  </si>
  <si>
    <t>14" Front Plate</t>
  </si>
  <si>
    <t>Lockwasher</t>
  </si>
  <si>
    <t>Creaser Crank Thin Stop Nut</t>
  </si>
  <si>
    <t>Std Left Side Plate</t>
  </si>
  <si>
    <t>Stnd Right Side Plate</t>
  </si>
  <si>
    <t>Drive Dog Screw #8-32x3/16</t>
  </si>
  <si>
    <t>14" Blade Holder Assembly</t>
  </si>
  <si>
    <t>14" Axle</t>
  </si>
  <si>
    <t>10" Flat Box Axle</t>
  </si>
  <si>
    <t>12" Flat Box Axle</t>
  </si>
  <si>
    <t>Control Tube Assembly</t>
  </si>
  <si>
    <t>Skid</t>
  </si>
  <si>
    <t>4-40 x 1/2 FH Screw, SST</t>
  </si>
  <si>
    <t>6-32 x 1/8 RH Screw, SST</t>
  </si>
  <si>
    <t>#10 Plastic Washer</t>
  </si>
  <si>
    <t>Friction Washer</t>
  </si>
  <si>
    <t>Connector</t>
  </si>
  <si>
    <t>Special Rivet</t>
  </si>
  <si>
    <t>Adjustable Stop</t>
  </si>
  <si>
    <t>Blade Clamp Assembly</t>
  </si>
  <si>
    <t>Spring Retainer</t>
  </si>
  <si>
    <t>Creaser Base</t>
  </si>
  <si>
    <t>5/16-18 x 7/8 Hex Head Screw</t>
  </si>
  <si>
    <t>5/16 Lockwasher</t>
  </si>
  <si>
    <t>Taper Head Assembly</t>
  </si>
  <si>
    <t>Screen Course Mesh</t>
  </si>
  <si>
    <t>10-24 Lock Nut</t>
  </si>
  <si>
    <t>7" Rubber Hinge Pin Shim</t>
  </si>
  <si>
    <t>12"" Rubber Hing Pin Shim</t>
  </si>
  <si>
    <t>14" Rubber Hinge Pin Sham</t>
  </si>
  <si>
    <t>Pivot for Box Plate Hinge</t>
  </si>
  <si>
    <t>7" Hinged Pressure Plate</t>
  </si>
  <si>
    <t>10" HInged Pressure Plate</t>
  </si>
  <si>
    <t>12" Hinged Pressure Plate</t>
  </si>
  <si>
    <t>14" Hinged Pressure Plate</t>
  </si>
  <si>
    <t>Valve Sleeve</t>
  </si>
  <si>
    <t>CR Side Plate</t>
  </si>
  <si>
    <t>CR Main Body</t>
  </si>
  <si>
    <t>CR Center Block</t>
  </si>
  <si>
    <t>CR Screw (#8)</t>
  </si>
  <si>
    <t>CR Thrust Washer</t>
  </si>
  <si>
    <t>CR Washer (#14)</t>
  </si>
  <si>
    <t>CR Bolt (#15)</t>
  </si>
  <si>
    <t>Main Cutter Chain Roller (white) Taper</t>
  </si>
  <si>
    <t>Triangle Washer</t>
  </si>
  <si>
    <t>Rubber Grip LW Handle</t>
  </si>
  <si>
    <t>Plastic Insert LW Handle</t>
  </si>
  <si>
    <t>Red Lightweight Accessory Tube</t>
  </si>
  <si>
    <t>Handle End</t>
  </si>
  <si>
    <t>Support Bracket</t>
  </si>
  <si>
    <t>34" Red Handle Tube (Fixed Box Hndl)</t>
  </si>
  <si>
    <t>42" Red Handle Tube (Fixed Box Hndl)</t>
  </si>
  <si>
    <t>54" Red Handle Tube (Fixed Box Hndl)</t>
  </si>
  <si>
    <t>SS Thin Lock Nut</t>
  </si>
  <si>
    <t>Spacer</t>
  </si>
  <si>
    <t>Mega Box Left Side Plate</t>
  </si>
  <si>
    <t>4" CF Left Frame</t>
  </si>
  <si>
    <t>4" Right Frame</t>
  </si>
  <si>
    <t>14" Blade Holder Bracket</t>
  </si>
  <si>
    <t>Wrench Bracket</t>
  </si>
  <si>
    <t>7" Mega Flat Box Front Plate</t>
  </si>
  <si>
    <t>10" Mega Flat Box Front Plate</t>
  </si>
  <si>
    <t>12" Mega Flat Box Front Plate</t>
  </si>
  <si>
    <t>#6 Flat Washer SST</t>
  </si>
  <si>
    <t>8-32 x 3/8 Bind Head Screw</t>
  </si>
  <si>
    <t>Nyliner Bearing   -4L4-F-642</t>
  </si>
  <si>
    <t>4-40 x 3/8 FH Screw</t>
  </si>
  <si>
    <t>4-40 x 1/8 BH Screw</t>
  </si>
  <si>
    <t>Hinged Flat Box Plastic Washer</t>
  </si>
  <si>
    <t>10-32 X 5/8 RHMS</t>
  </si>
  <si>
    <t>Bottom Removable Cover Plate</t>
  </si>
  <si>
    <t>2" Latch</t>
  </si>
  <si>
    <t>2" Facing</t>
  </si>
  <si>
    <t>2" Hinge Block</t>
  </si>
  <si>
    <t>2" Insert</t>
  </si>
  <si>
    <t>2" Press Plate Assembly</t>
  </si>
  <si>
    <t>Plastic Washer</t>
  </si>
  <si>
    <t>3" Facing</t>
  </si>
  <si>
    <t>3" Hinge Block</t>
  </si>
  <si>
    <t>3" Insert</t>
  </si>
  <si>
    <t>3" Pressure Plate Assembly</t>
  </si>
  <si>
    <t>3" Body Assembly</t>
  </si>
  <si>
    <t>Brake Lever Bracket</t>
  </si>
  <si>
    <t>8-32 x 6mm Slotted Screw</t>
  </si>
  <si>
    <t>Set Screw</t>
  </si>
  <si>
    <t>7" C.A Front Plate</t>
  </si>
  <si>
    <t>8" C.A. Front Plate</t>
  </si>
  <si>
    <t>7" C.A. Pressure Plate</t>
  </si>
  <si>
    <t>8" C.A. Pressure Plate</t>
  </si>
  <si>
    <t>C.A. Gasket Holder</t>
  </si>
  <si>
    <t>Pivot Washer</t>
  </si>
  <si>
    <t>C.A. Pivot</t>
  </si>
  <si>
    <t>7" C.A. Right Side Plate</t>
  </si>
  <si>
    <t>8" C.A. Right Side Plate</t>
  </si>
  <si>
    <t>C.A. Bracket Support</t>
  </si>
  <si>
    <t>C.A. Bracket Support Bolt</t>
  </si>
  <si>
    <t>7" C.A. Curved Plate</t>
  </si>
  <si>
    <t>8" C.A. Curved Plate</t>
  </si>
  <si>
    <t>7" C.A. Left side Plate</t>
  </si>
  <si>
    <t>8" C.A. Left Side Plate</t>
  </si>
  <si>
    <t>3.5" Carbide Blade</t>
  </si>
  <si>
    <t>Nut Block</t>
  </si>
  <si>
    <t>Pressure Plate Tab</t>
  </si>
  <si>
    <t>2" Body Assembly</t>
  </si>
  <si>
    <t>Gooseneck Space</t>
  </si>
  <si>
    <t>Outsider Shoe - FB</t>
  </si>
  <si>
    <t>Outsider Wheel - FB</t>
  </si>
  <si>
    <t>Outsider Thick Washer - FB</t>
  </si>
  <si>
    <t>34" Connector Strap (Fixed Box Hndl)</t>
  </si>
  <si>
    <t>42" Connector Strap (Fixed Box Hndl)</t>
  </si>
  <si>
    <t>54" Connector Strap (Fixed Box Hndl)</t>
  </si>
  <si>
    <t>Gooseneck Cleaning Brush</t>
  </si>
  <si>
    <t>Flat Rubber Washer (for cleaing nozzles)</t>
  </si>
  <si>
    <t>Tape Jam Remover Tool</t>
  </si>
  <si>
    <t>C.T. Latch</t>
  </si>
  <si>
    <t>C.T. Screw (#6)</t>
  </si>
  <si>
    <t>C.T. Band Connector</t>
  </si>
  <si>
    <t>C.T. Outer Tube</t>
  </si>
  <si>
    <t>C.T. Bottom Cap</t>
  </si>
  <si>
    <t>C.T. Plunger Cup Bolt</t>
  </si>
  <si>
    <t>C.T. Metal Washer</t>
  </si>
  <si>
    <t>C.T. Plastic Plunger</t>
  </si>
  <si>
    <t>C.T. Plunger Cup Base</t>
  </si>
  <si>
    <t>C.T. Red Plunger Tube</t>
  </si>
  <si>
    <t>C.T. Foam Stopper</t>
  </si>
  <si>
    <t>C.T. Screw (#19)</t>
  </si>
  <si>
    <t>C.T. Spade Handle</t>
  </si>
  <si>
    <t>NS Left Side Plate</t>
  </si>
  <si>
    <t>2"NS Rubber Shim</t>
  </si>
  <si>
    <t>3"NS Rubber Shim</t>
  </si>
  <si>
    <t>NS Spring Anchor</t>
  </si>
  <si>
    <t>2"NS Kick Plate</t>
  </si>
  <si>
    <t>3"NS Kick Plate</t>
  </si>
  <si>
    <t>2"NS Wheel Axle</t>
  </si>
  <si>
    <t>2"NS Bottom Plate</t>
  </si>
  <si>
    <t>3"NS Bottom Plate</t>
  </si>
  <si>
    <t>2"NS Pressure Plate</t>
  </si>
  <si>
    <t>3"NS Pressure Plate</t>
  </si>
  <si>
    <t>Nail Spotter Pivot</t>
  </si>
  <si>
    <t>NS Right Side Plate</t>
  </si>
  <si>
    <t>NS Plastic Washer</t>
  </si>
  <si>
    <t>2"NS Blade Bracket</t>
  </si>
  <si>
    <t>3"NS Blade Bracket</t>
  </si>
  <si>
    <t>2"NS Facing</t>
  </si>
  <si>
    <t>3"NS Facing</t>
  </si>
  <si>
    <t>2"NS Front Plate</t>
  </si>
  <si>
    <t>3"NS Front Plate</t>
  </si>
  <si>
    <t>NS Screw #39</t>
  </si>
  <si>
    <t>MiniShot Red Ext. Tube (Tube Only)</t>
  </si>
  <si>
    <t>M.S. Ext. Handle Top Base</t>
  </si>
  <si>
    <t>MiniShot Red Handle Tube</t>
  </si>
  <si>
    <t>Lock Block</t>
  </si>
  <si>
    <t>White Clear Tube Base</t>
  </si>
  <si>
    <t>MiniShot Clear Tube Assembly</t>
  </si>
  <si>
    <t>Support Handle Grip</t>
  </si>
  <si>
    <t>Fill Valve Assembly</t>
  </si>
  <si>
    <t>Serrated Hex Flange Nut</t>
  </si>
  <si>
    <t>Locking Sleeve</t>
  </si>
  <si>
    <t>Brake Lever</t>
  </si>
  <si>
    <t>Pivot Pin</t>
  </si>
  <si>
    <t>Handle Pivot</t>
  </si>
  <si>
    <t>1/4-28 x 3/8 Socket Set Screw Knurled Point</t>
  </si>
  <si>
    <t>Box Handle Head</t>
  </si>
  <si>
    <t>10" Pressure Plate</t>
  </si>
  <si>
    <t>7" Pressure Plate</t>
  </si>
  <si>
    <t>Wiper Seal, 7"</t>
  </si>
  <si>
    <t>Valve Holder</t>
  </si>
  <si>
    <t>Top Rod 32"</t>
  </si>
  <si>
    <t>Top Rod 42"</t>
  </si>
  <si>
    <t>Rod</t>
  </si>
  <si>
    <t>32" Bottom Rod</t>
  </si>
  <si>
    <t>42" Bottom Rod</t>
  </si>
  <si>
    <t>62" Bottom Rod</t>
  </si>
  <si>
    <t>78" Bottom Rod</t>
  </si>
  <si>
    <t>Inner Casing</t>
  </si>
  <si>
    <t>Short Gray Tube</t>
  </si>
  <si>
    <t>Long Gray Tube</t>
  </si>
  <si>
    <t>Tape Roll Keeper Assembly (Metal)</t>
  </si>
  <si>
    <t>Top Band Assembly (Metal)</t>
  </si>
  <si>
    <t>Drip Guard</t>
  </si>
  <si>
    <t>Long Head Casting Screw</t>
  </si>
  <si>
    <t>18-8 SS Thin Nylon Locknut</t>
  </si>
  <si>
    <t>Cutter Spring Holder</t>
  </si>
  <si>
    <t>Long Creaser Arm (Gen2)</t>
  </si>
  <si>
    <t>Taper Wheel Spool (Gen2)</t>
  </si>
  <si>
    <t>Short Creaser Arm (Gen2)</t>
  </si>
  <si>
    <t>New Style Taper Head</t>
  </si>
  <si>
    <t>Left Side Plate- Taper</t>
  </si>
  <si>
    <t>Cutter Chain Bushing (metal) Taper</t>
  </si>
  <si>
    <t>Screws for Nail Spotter</t>
  </si>
  <si>
    <t>Bearings for Wheels on Nail Spotter</t>
  </si>
  <si>
    <t>Nail Spotter Wheels</t>
  </si>
  <si>
    <t>CF 3" Left Frame</t>
  </si>
  <si>
    <t>CF 3" Right Frame</t>
  </si>
  <si>
    <t>K34 1/4" Split Screwdriver</t>
  </si>
  <si>
    <t>K23 3/16" Split Screwdriver</t>
  </si>
  <si>
    <t>Taper Wheel Assembly (Gen2)</t>
  </si>
  <si>
    <t>FB Pressure Spring Holder</t>
  </si>
  <si>
    <t>FB Screw</t>
  </si>
  <si>
    <t>FB 10" Mental Hinge</t>
  </si>
  <si>
    <t>12" Pressure Plate</t>
  </si>
  <si>
    <t>12" Blade Holder Bracket</t>
  </si>
  <si>
    <t>7" Axle</t>
  </si>
  <si>
    <t>12 Axle</t>
  </si>
  <si>
    <t>Creaser Arm Assembly (Gen2)</t>
  </si>
  <si>
    <t>12" Blade holder</t>
  </si>
  <si>
    <t>7" Blade Holder Bracket</t>
  </si>
  <si>
    <t>C.A. Cone</t>
  </si>
  <si>
    <t>6-32x7 Screw SS</t>
  </si>
  <si>
    <t>2" Bumper block SS</t>
  </si>
  <si>
    <t>2" Wheel Bracket Alum.</t>
  </si>
  <si>
    <t>Metal Bearing SS</t>
  </si>
  <si>
    <t>Wheel SS</t>
  </si>
  <si>
    <t>6-32x18 Screw SS</t>
  </si>
  <si>
    <t>3" Bumper Block SS</t>
  </si>
  <si>
    <t>3" Wheel Sear Alum.</t>
  </si>
  <si>
    <t>Washer Copper</t>
  </si>
  <si>
    <t>Spring Tension Spring - CF</t>
  </si>
  <si>
    <t>CF 3" Spring (Big)</t>
  </si>
  <si>
    <t>CF 2.5" Spring</t>
  </si>
  <si>
    <t>Left Side Plate</t>
  </si>
  <si>
    <t>Right Side Plate</t>
  </si>
  <si>
    <t>FB MEGA Side Plate - Left</t>
  </si>
  <si>
    <t>FB MEGA Side Plate - Right</t>
  </si>
  <si>
    <t>FB 10" MEGA Front Plate</t>
  </si>
  <si>
    <t>FB 12" MEGA Front Plate</t>
  </si>
  <si>
    <t>FB 7" MEGA Front Plate</t>
  </si>
  <si>
    <t>7" Mega Bottom Plate</t>
  </si>
  <si>
    <t>10" MEGA Bottom Plate</t>
  </si>
  <si>
    <t>12" MEGA Bottom Plate</t>
  </si>
  <si>
    <t>Right Side Plate- Taper</t>
  </si>
  <si>
    <t>AT Tape Keeper One Piece Front Side</t>
  </si>
  <si>
    <t>FB Screw (Side Plate</t>
  </si>
  <si>
    <t>CF 2.5" Left Frame</t>
  </si>
  <si>
    <t>Pump Foot Bracket</t>
  </si>
  <si>
    <t>CF 3.5" Body</t>
  </si>
  <si>
    <t>FB 7" Tie Rod</t>
  </si>
  <si>
    <t>FB 10" Tie Rod</t>
  </si>
  <si>
    <t>FB 12" Tie Rod</t>
  </si>
  <si>
    <t>AT Gripper Ring</t>
  </si>
  <si>
    <t>4-774</t>
  </si>
  <si>
    <t>Clear Compound Tube</t>
  </si>
  <si>
    <t>59149TT</t>
  </si>
  <si>
    <t>Tenite Bearing</t>
  </si>
  <si>
    <t>7122A13</t>
  </si>
  <si>
    <t>Inch Hex L-Key, Standard, .050" Hex, 1-3/4" Lengths: 53200 ? COGS - Parts</t>
  </si>
  <si>
    <t>90101A007</t>
  </si>
  <si>
    <t>18-8 SS Thin Nylon-Insert Locknut, 6-32 Thread Size , 5/16" Wide, 1/8" High</t>
  </si>
  <si>
    <t>9185(9815 is the correct part)</t>
  </si>
  <si>
    <t>9191W</t>
  </si>
  <si>
    <t>Wrench for 9191 Fastenal   0257039</t>
  </si>
  <si>
    <t>BN-5039</t>
  </si>
  <si>
    <t>Nitrile/Nylon (SPEC 2550) .025 +/-.003"</t>
  </si>
  <si>
    <t>BN-5039 T</t>
  </si>
  <si>
    <t>Nitrile/Nylon (SPEC 2551) .050 +/-.003"</t>
  </si>
  <si>
    <t>GSS 619526</t>
  </si>
  <si>
    <t>GS10-1550-061 without end fittings</t>
  </si>
  <si>
    <t>GSS 635791</t>
  </si>
  <si>
    <t>Gas Spring, 245MM Stroke, 560MM Ext Length, 350 Newtons</t>
  </si>
  <si>
    <t>DXTT-2-803</t>
  </si>
  <si>
    <t>2-803</t>
  </si>
  <si>
    <t xml:space="preserve">DEWALT Taper/Gooseneck Cleaning Kit </t>
  </si>
  <si>
    <t>4-847</t>
  </si>
  <si>
    <t>Open Wheel Taper Rebuild Kit</t>
  </si>
  <si>
    <t>4-850</t>
  </si>
  <si>
    <t>2.5"CF Rebuild Kit w/Wheels</t>
  </si>
  <si>
    <t>4-853</t>
  </si>
  <si>
    <t>4"CF Rebuild Kit w/Wheels</t>
  </si>
  <si>
    <t>4-890</t>
  </si>
  <si>
    <t>7" Box Gasket (Hinged Box)</t>
  </si>
  <si>
    <t>4-891</t>
  </si>
  <si>
    <t>10" Box Gasket (Hinged Box)</t>
  </si>
  <si>
    <t>4-892</t>
  </si>
  <si>
    <t>12" Box Gasket (Hinged Box)</t>
  </si>
  <si>
    <t>4-893</t>
  </si>
  <si>
    <t>14" Box Gsket (Hinged Box)</t>
  </si>
  <si>
    <t>Husky</t>
  </si>
  <si>
    <t>Husky Corner Bead Tool w/ Rubber Mallet</t>
  </si>
  <si>
    <t>Bead Tools</t>
  </si>
  <si>
    <t>Husky Stippiling Texture Brush 5"</t>
  </si>
  <si>
    <t>Brushes</t>
  </si>
  <si>
    <t>Husky Single Texture Brush 9" x 13"</t>
  </si>
  <si>
    <t>CMXTTLV95051</t>
  </si>
  <si>
    <t>Craftsman</t>
  </si>
  <si>
    <t>Craftsman Bucket w/ Lid</t>
  </si>
  <si>
    <t>Bucket</t>
  </si>
  <si>
    <t>CMXTTLV95061</t>
  </si>
  <si>
    <t>Craftsman 6" Bucket Scoop</t>
  </si>
  <si>
    <t>Husky Drywall Bucket Scoop, Plastic</t>
  </si>
  <si>
    <t>Husky 8.5" Drywall Circle Cutter</t>
  </si>
  <si>
    <t>Circle Cutters</t>
  </si>
  <si>
    <t>Husky Hand Sander w/ Wood Handle</t>
  </si>
  <si>
    <t>Hand Sanders</t>
  </si>
  <si>
    <t>Husky Hand Sander w/ Soft Grip Handle</t>
  </si>
  <si>
    <t>Anvil 3PC Joint Knife QP</t>
  </si>
  <si>
    <t>CMXTTLV95050</t>
  </si>
  <si>
    <t>Craftsman Drywall Hand Tool Kit w/Bucket</t>
  </si>
  <si>
    <t>CMXTTLV95052</t>
  </si>
  <si>
    <t>Craftsman Drywall Hand Tool Kit</t>
  </si>
  <si>
    <t>DEWALT Rubber Soft Grip Stainless Steel Hammer End Putty Knife Set</t>
  </si>
  <si>
    <t>DEWALT 3PC SS J-Knife WeldHndl Blister Pk</t>
  </si>
  <si>
    <t>3-208</t>
  </si>
  <si>
    <t>DEWALT 2PC Trim Puller</t>
  </si>
  <si>
    <t>4-100</t>
  </si>
  <si>
    <t>HD Emergency Kit A</t>
  </si>
  <si>
    <t>92771D</t>
  </si>
  <si>
    <t>Rubber Soft Grip Stainless Steel Hammer End Putty Knife Set - 36 in Display</t>
  </si>
  <si>
    <t>DXTT-2-600</t>
  </si>
  <si>
    <t>2-600</t>
  </si>
  <si>
    <t>DEWALT Pro Tap-Fin Set w/M Ext Hndls</t>
  </si>
  <si>
    <t>DXTT-2-601</t>
  </si>
  <si>
    <t>2-601</t>
  </si>
  <si>
    <t>DEWALT Pro Tap-Fin Set w/LG Ext Hndls</t>
  </si>
  <si>
    <t>DXTT-2-611</t>
  </si>
  <si>
    <t>2-611</t>
  </si>
  <si>
    <t>DEWALT MEGA Taping Set w/LG Ext Hndls</t>
  </si>
  <si>
    <t>DXTT-2-614</t>
  </si>
  <si>
    <t>2-614</t>
  </si>
  <si>
    <t>DEWALT MEGA Pro Taping w/LG Ext Hndls</t>
  </si>
  <si>
    <t>DXTT-2-616</t>
  </si>
  <si>
    <t>2-616</t>
  </si>
  <si>
    <t>DEWALT MEGA Pro Taping Set w/M Ext Hndls</t>
  </si>
  <si>
    <t>DXTT-2-617</t>
  </si>
  <si>
    <t>2-617</t>
  </si>
  <si>
    <t>DEWALT Ultimate Tap-Fin Tool Set w/MS</t>
  </si>
  <si>
    <t>DXTT-2-882</t>
  </si>
  <si>
    <t>2-882</t>
  </si>
  <si>
    <t>DEWALT Ext Hndl Set-4 Heads(NS,CR,CA,CF)</t>
  </si>
  <si>
    <t>3-139</t>
  </si>
  <si>
    <t>3-140</t>
  </si>
  <si>
    <t>3-149</t>
  </si>
  <si>
    <t>DEWALT 6PC CS J-Knife Set-Sft Grp Hndl</t>
  </si>
  <si>
    <t>DXTT-3-160</t>
  </si>
  <si>
    <t>3-160</t>
  </si>
  <si>
    <t>DEWALT 3 Piece CS J-Knife Set-Plast Hndl</t>
  </si>
  <si>
    <t>DXTT-3-161</t>
  </si>
  <si>
    <t>3-161</t>
  </si>
  <si>
    <t>DEWALT 4PC BS BG BK T-Knife-Sft Grp Hndl</t>
  </si>
  <si>
    <t>DXTT-3-162</t>
  </si>
  <si>
    <t>3-162</t>
  </si>
  <si>
    <t>DEWALT 5PC BS T-Knife Set-Sft Grp Hndl</t>
  </si>
  <si>
    <t>DXTT-3-163</t>
  </si>
  <si>
    <t>3-163</t>
  </si>
  <si>
    <t>DEWALT 4PC BS Taping Knife Set w/16" Pan</t>
  </si>
  <si>
    <t>DXTT-3-164</t>
  </si>
  <si>
    <t>3-164</t>
  </si>
  <si>
    <t>DEWALT 4PC BS Taping Knife Set w/14" Pan</t>
  </si>
  <si>
    <t>DXTT-3-170</t>
  </si>
  <si>
    <t>3-170</t>
  </si>
  <si>
    <t>DEWALT 3PC SS Joint Knife Set -Plas Hndl</t>
  </si>
  <si>
    <t>3-171</t>
  </si>
  <si>
    <t>3-172</t>
  </si>
  <si>
    <t>DEWALT 4PC SS BG Bk T-Knife-Sft Grp Hndl</t>
  </si>
  <si>
    <t>3-173</t>
  </si>
  <si>
    <t>DEWALT 3PC SS Hand Tool Set w/16"Pan</t>
  </si>
  <si>
    <t>3-174</t>
  </si>
  <si>
    <t>DXTT-3-180</t>
  </si>
  <si>
    <t>3-180</t>
  </si>
  <si>
    <t>DEWALT 7PC Composite Drywall Hand Tool Set</t>
  </si>
  <si>
    <t>3-201</t>
  </si>
  <si>
    <t>3-203</t>
  </si>
  <si>
    <t>DXTT-3-205</t>
  </si>
  <si>
    <t>3-205</t>
  </si>
  <si>
    <t>DEWALT 3PC SS Specialty Knife Blister PK</t>
  </si>
  <si>
    <t>DXTT-3-207</t>
  </si>
  <si>
    <t>3-207</t>
  </si>
  <si>
    <t>DEWALT 3PC Combination Knife Blister PK</t>
  </si>
  <si>
    <t>DXTT-3-450</t>
  </si>
  <si>
    <t>3-450</t>
  </si>
  <si>
    <t>DEWALT 3PC SS Welded Joint Knife Set</t>
  </si>
  <si>
    <t>3-460</t>
  </si>
  <si>
    <t>DEWALT 12",14"Flat.7mm Trowel Set w/Hawk</t>
  </si>
  <si>
    <t>DXTT-3-461</t>
  </si>
  <si>
    <t>3-461</t>
  </si>
  <si>
    <t>DEWALT 12",14"Flat.5mm Trowel Set w/Hawk</t>
  </si>
  <si>
    <t>DXTT-3-462</t>
  </si>
  <si>
    <t>3-462</t>
  </si>
  <si>
    <t>DEWALT 12",14"Flat.4mm Trowel Set w/Hawk</t>
  </si>
  <si>
    <t>DXTT-3-470</t>
  </si>
  <si>
    <t>3-470</t>
  </si>
  <si>
    <t>DEWALT 12",14"Curved.7mm Trowel+Hawk Set</t>
  </si>
  <si>
    <t>DXTT-3-471</t>
  </si>
  <si>
    <t>3-471</t>
  </si>
  <si>
    <t>DEWALT 12",14"Curved.5 Trowel Set w/Hawk</t>
  </si>
  <si>
    <t>DXTT-3-472</t>
  </si>
  <si>
    <t>3-472</t>
  </si>
  <si>
    <t>DEWALT 12",14"Curved.4 Trowel Set w/Hawk</t>
  </si>
  <si>
    <t>3-609</t>
  </si>
  <si>
    <t>DEWALT Ultimate SS Hand Tool Set</t>
  </si>
  <si>
    <t>3-610</t>
  </si>
  <si>
    <t>DEWALT Deluxe BS Hand Tool Set</t>
  </si>
  <si>
    <t>DXTT-3-619</t>
  </si>
  <si>
    <t>3-619</t>
  </si>
  <si>
    <t>DEWALT 3Piece SS Taping Knife Set</t>
  </si>
  <si>
    <t>DXTT-3-623</t>
  </si>
  <si>
    <t>3-623</t>
  </si>
  <si>
    <t>DEWALT Deluxe SS Hand Tool Set</t>
  </si>
  <si>
    <t>DXTT-3-820</t>
  </si>
  <si>
    <t>3-820</t>
  </si>
  <si>
    <t>DEWALT 8"SS Offset Knife-Stiff w/2'-5'Hndl</t>
  </si>
  <si>
    <t>DXTT-3-821</t>
  </si>
  <si>
    <t>3-821</t>
  </si>
  <si>
    <t>DEWALT 10"SS Offset Knife-Stiff w/2'-5'Hndl</t>
  </si>
  <si>
    <t>DXTT-3-822</t>
  </si>
  <si>
    <t>3-822</t>
  </si>
  <si>
    <t>DEWALT 12"SS Offset Knife-Stiff w/2'-5'Hndl</t>
  </si>
  <si>
    <t>DXTT-3-823</t>
  </si>
  <si>
    <t>3-823</t>
  </si>
  <si>
    <t>DEWALT 14"SS Offset Knife-Stiff w/2'-5'Hndl</t>
  </si>
  <si>
    <t>DXTT-3-824</t>
  </si>
  <si>
    <t>3-824</t>
  </si>
  <si>
    <t>DEWALT 16"SS Offset Knife-Stiff w/2'-5'Hndl</t>
  </si>
  <si>
    <t>DXTT-3-825</t>
  </si>
  <si>
    <t>3-825</t>
  </si>
  <si>
    <t>DEWALT 18"SS Offset Knife-Stiff w/2'-5'Hndl</t>
  </si>
  <si>
    <t>DXTT-3-830</t>
  </si>
  <si>
    <t>3-830</t>
  </si>
  <si>
    <t>DEWALT 8"SS Offset Knife-Flex w/2'-5'Hndl</t>
  </si>
  <si>
    <t>DXTT-3-831</t>
  </si>
  <si>
    <t>3-831</t>
  </si>
  <si>
    <t>DEWALT 10"SS Offset Knife-Flex w/2'-5'Hndl</t>
  </si>
  <si>
    <t>DXTT-3-832</t>
  </si>
  <si>
    <t>3-832</t>
  </si>
  <si>
    <t>DEWALT 12"SS Offset Knife-Flex w/2'-5'Hndl</t>
  </si>
  <si>
    <t>DXTT-3-833</t>
  </si>
  <si>
    <t>3-833</t>
  </si>
  <si>
    <t>DEWALT 14"SS Offset Knife-Flex w/2'-5'Hndl</t>
  </si>
  <si>
    <t>DXTT-3-834</t>
  </si>
  <si>
    <t>3-834</t>
  </si>
  <si>
    <t>DEWALT 16"SS Offset Knife-Flex w/2'-5'Hndl</t>
  </si>
  <si>
    <t>DXTT-3-835</t>
  </si>
  <si>
    <t>3-835</t>
  </si>
  <si>
    <t>DEWALT 18"SS Offset Knife-Flex w/2'-5'Hndl</t>
  </si>
  <si>
    <t>DXTT-3-840</t>
  </si>
  <si>
    <t>3-840</t>
  </si>
  <si>
    <t>DEWALT 8"SS Offset Knife-Stiff w/4'-7'Hndl</t>
  </si>
  <si>
    <t>DXTT-3-841</t>
  </si>
  <si>
    <t>3-841</t>
  </si>
  <si>
    <t>DEWALT10"SS Offset Knife-Stiff w/4'-7'Hndl</t>
  </si>
  <si>
    <t>DXTT-3-842</t>
  </si>
  <si>
    <t>3-842</t>
  </si>
  <si>
    <t>DEWALT 12"SS Offset Knife-Stiff w/4'-7'Hndl</t>
  </si>
  <si>
    <t>DXTT-3-843</t>
  </si>
  <si>
    <t>3-843</t>
  </si>
  <si>
    <t>DEWALT 14"SS Offset Knife-Stiff w/4'-7'Hndl</t>
  </si>
  <si>
    <t>DXTT-3-844</t>
  </si>
  <si>
    <t>3-844</t>
  </si>
  <si>
    <t>DEWALT 16"SS Offset Knife-Stiff w/4'-7'Hndl</t>
  </si>
  <si>
    <t>DXTT-3-845</t>
  </si>
  <si>
    <t>3-845</t>
  </si>
  <si>
    <t>DEWALT 18"SS Offset Knife-Stiff w/4'-7'Hndl</t>
  </si>
  <si>
    <t>DXTT-3-850</t>
  </si>
  <si>
    <t>3-850</t>
  </si>
  <si>
    <t>DEWALT 8"SS Offset Knife-Flex w/4'-7'Hndl</t>
  </si>
  <si>
    <t>DXTT-3-851</t>
  </si>
  <si>
    <t>3-851</t>
  </si>
  <si>
    <t>DEWALT 10"SS Offset Knife-Flex w/4'-7'Hndl</t>
  </si>
  <si>
    <t>DXTT-3-852</t>
  </si>
  <si>
    <t>3-852</t>
  </si>
  <si>
    <t>DEWALT 12"SS Offset Knife-Flex w/4'-7'Hndl</t>
  </si>
  <si>
    <t>DXTT-3-853</t>
  </si>
  <si>
    <t>3-853</t>
  </si>
  <si>
    <t>DEWALT 14"SS Offset Knife-Flex w/4'-7'Hndl</t>
  </si>
  <si>
    <t>DXTT-3-854</t>
  </si>
  <si>
    <t>3-854</t>
  </si>
  <si>
    <t>DEWALT 16"SS Offset Knife-Flex w/4'-7'Hndl</t>
  </si>
  <si>
    <t>DXTT-3-855</t>
  </si>
  <si>
    <t>3-855</t>
  </si>
  <si>
    <t>DEWALT 18"SS Offset Knife-Flex w/4'-7'Hndl</t>
  </si>
  <si>
    <t>Husky Jab Saw 2PK</t>
  </si>
  <si>
    <t>5-344</t>
  </si>
  <si>
    <t>9" Radial Sander w/48" Pole</t>
  </si>
  <si>
    <t>5-355</t>
  </si>
  <si>
    <t>Ultimate Sanders Set</t>
  </si>
  <si>
    <t>5-356</t>
  </si>
  <si>
    <t>Starter Sanding Set</t>
  </si>
  <si>
    <t>5-450</t>
  </si>
  <si>
    <t>3PC SS Joint Knife Welded Hndl Set</t>
  </si>
  <si>
    <t>6PC  SS P-Knife Set W/ Grips</t>
  </si>
  <si>
    <t>5-452</t>
  </si>
  <si>
    <t>Stretch Knife Set</t>
  </si>
  <si>
    <t>5-463</t>
  </si>
  <si>
    <t>Trowel &amp; 16" Hawk Set</t>
  </si>
  <si>
    <t>5-610</t>
  </si>
  <si>
    <t>Deluxe BS/CS Hand Tool Set</t>
  </si>
  <si>
    <t>5-621</t>
  </si>
  <si>
    <t>3PC CS Joint Knife Stf Grp Set</t>
  </si>
  <si>
    <t>5-622</t>
  </si>
  <si>
    <t>Composite Knife Set</t>
  </si>
  <si>
    <t>5-624</t>
  </si>
  <si>
    <t>Premium SS Hand Tool Set</t>
  </si>
  <si>
    <t>5-625</t>
  </si>
  <si>
    <t>SS Hand Tool Starter Set</t>
  </si>
  <si>
    <t>5-658L</t>
  </si>
  <si>
    <t>Deluxe Composite Hand Tool Set</t>
  </si>
  <si>
    <t>5-659L</t>
  </si>
  <si>
    <t>Welded Finishing Hand Tool Set</t>
  </si>
  <si>
    <t>5-661L</t>
  </si>
  <si>
    <t>Composite Hand Tool Set w/Bag</t>
  </si>
  <si>
    <t>5-663L</t>
  </si>
  <si>
    <t>Drywall Finishers Kit</t>
  </si>
  <si>
    <t>5-664L</t>
  </si>
  <si>
    <t>Painter Tool Kit</t>
  </si>
  <si>
    <t>5-680</t>
  </si>
  <si>
    <t>Finisher's Hand Tools Kit w/Bag</t>
  </si>
  <si>
    <t>Contractor's Hand Tool Kit w/Bag</t>
  </si>
  <si>
    <t>Starter Hand Tool Kit w/Bag</t>
  </si>
  <si>
    <t>Contractor's Hand Tool Kit w/Bag (Welded)</t>
  </si>
  <si>
    <t>Professional Hand Tool Kit w/Duffel Bag</t>
  </si>
  <si>
    <t>5-801</t>
  </si>
  <si>
    <t>9"Mud Roller w/2'-5'Hndl+Adpt</t>
  </si>
  <si>
    <t>5-802</t>
  </si>
  <si>
    <t>12"Mud Roller w/2'-5'Hand+Adpt</t>
  </si>
  <si>
    <t>5-803</t>
  </si>
  <si>
    <t>9"Mud Roller w/4'-7'Hndl+Adpt</t>
  </si>
  <si>
    <t>5-804</t>
  </si>
  <si>
    <t>12"Mud Roller w/4'-7'Hndl+Adpt</t>
  </si>
  <si>
    <t>5-820</t>
  </si>
  <si>
    <t>8"SS Offset Knife-Stiff w/2'-5'Hndl</t>
  </si>
  <si>
    <t>5-821</t>
  </si>
  <si>
    <t>10"SS Offset Knife-Stiff w/2'-5'Hndl</t>
  </si>
  <si>
    <t>5-822</t>
  </si>
  <si>
    <t>12"SS Offset Knife-Stiff w/2'-5'Hndl</t>
  </si>
  <si>
    <t>5-823</t>
  </si>
  <si>
    <t>14"SS Offset Knife-Stiff w/2'-5'Hndl</t>
  </si>
  <si>
    <t>5-824</t>
  </si>
  <si>
    <t>16"SS Offset Knife-Stiff w/2'-5'Hndl</t>
  </si>
  <si>
    <t>5-825</t>
  </si>
  <si>
    <t>18"SS Offset Knife-Stiff w/2'-5'Hndl</t>
  </si>
  <si>
    <t>5-830</t>
  </si>
  <si>
    <t>8"SS Offset Knife-Flex w/2'-5'Hndl</t>
  </si>
  <si>
    <t>5-831</t>
  </si>
  <si>
    <t>10"SS Offset Knife-Flex w/2'-5'Hndl</t>
  </si>
  <si>
    <t>5-832</t>
  </si>
  <si>
    <t>12"SS Offset Knife-Flex w/2'-5'Hndl</t>
  </si>
  <si>
    <t>5-833</t>
  </si>
  <si>
    <t>14"SS Offset Knife-Flex w/2'-5'Hndl</t>
  </si>
  <si>
    <t>5-834</t>
  </si>
  <si>
    <t>16"SS Offset Knife-Flex w/2'-5'Hndl</t>
  </si>
  <si>
    <t>5-835</t>
  </si>
  <si>
    <t>18"SS Offset Knife-Flex w/2'-5'Hndl</t>
  </si>
  <si>
    <t>5-840</t>
  </si>
  <si>
    <t>8"SS Offset Knife-Stiff w/4'-7'Hndl</t>
  </si>
  <si>
    <t>5-841</t>
  </si>
  <si>
    <t>10"SS Offset Knife-Stiff w/4'-7'Hndl</t>
  </si>
  <si>
    <t>5-842</t>
  </si>
  <si>
    <t>12"SS Offset Knife-Stiff w/4'-7'Hndl</t>
  </si>
  <si>
    <t>5-843</t>
  </si>
  <si>
    <t>14"SS Offset Knife-Stiff w/4'-7'Hndl</t>
  </si>
  <si>
    <t>5-844</t>
  </si>
  <si>
    <t>16"SS Offset Knife-Stiff w/4'-7'Hndl</t>
  </si>
  <si>
    <t>5-845</t>
  </si>
  <si>
    <t>18"SS Offset Knife-Stiff w/4'-7'Hndl</t>
  </si>
  <si>
    <t>5-850</t>
  </si>
  <si>
    <t>8"SS Offset Knife-Flex w/4'-7'Hndl</t>
  </si>
  <si>
    <t>5-851</t>
  </si>
  <si>
    <t>10"SS Offset Knife-Flex w/4'-7'Hndl</t>
  </si>
  <si>
    <t>5-852</t>
  </si>
  <si>
    <t>12"SS Offset Knife-Flex w/4'-7'Hndl</t>
  </si>
  <si>
    <t>5-853</t>
  </si>
  <si>
    <t>14"SS Offset Knife-Flex w/4'-7'Hndl</t>
  </si>
  <si>
    <t>5-854</t>
  </si>
  <si>
    <t>16"SS Offset Knife-Flex w/4'-7'Hndl</t>
  </si>
  <si>
    <t>5-855</t>
  </si>
  <si>
    <t>18"SS Offset Knife-Flex w/4'-7'Hndl</t>
  </si>
  <si>
    <t>5-861</t>
  </si>
  <si>
    <t>Offset Scraping Set-3pk</t>
  </si>
  <si>
    <t>5-862</t>
  </si>
  <si>
    <t>Offset Finishing Set-3pk</t>
  </si>
  <si>
    <t>5-863</t>
  </si>
  <si>
    <t>Offset Scraping &amp; Finishing Set-6pk</t>
  </si>
  <si>
    <t>Husky 48" Metal Sanding Pole, Dual Thread</t>
  </si>
  <si>
    <t>2-325R</t>
  </si>
  <si>
    <t>REFURB DEWALT Hawk 13" x 13"</t>
  </si>
  <si>
    <t>2-325</t>
  </si>
  <si>
    <t>2-326</t>
  </si>
  <si>
    <t>EU2-325</t>
  </si>
  <si>
    <t>EU2-326</t>
  </si>
  <si>
    <t>Husky 13" x 13" Hawk, 2.0mm Plate</t>
  </si>
  <si>
    <t>Husky 13" x 13" Hawk, 1.5mm Plate</t>
  </si>
  <si>
    <t>5-325R</t>
  </si>
  <si>
    <t>REFURB, Hawk 13" x 13"</t>
  </si>
  <si>
    <t>5-326R</t>
  </si>
  <si>
    <t>REFURB Hawk 16" x 16"</t>
  </si>
  <si>
    <t>2-321</t>
  </si>
  <si>
    <t>DXTT-2-322</t>
  </si>
  <si>
    <t>2-322</t>
  </si>
  <si>
    <t>DEWALT 5" Inside Corner Trowel</t>
  </si>
  <si>
    <t>5-310R</t>
  </si>
  <si>
    <t>Refurb 4"x3.5"SS Corner Trowel-Sft Grp</t>
  </si>
  <si>
    <t>DXTT-2-100</t>
  </si>
  <si>
    <t>2-100</t>
  </si>
  <si>
    <t>DEWALT 6" Jab Saw</t>
  </si>
  <si>
    <t>Husky 6" Jab Saw</t>
  </si>
  <si>
    <t>Anvil J-Knife 4" Composite, Hammerend</t>
  </si>
  <si>
    <t>Anvil J-Knife 5" SS Composite, Hammerend</t>
  </si>
  <si>
    <t>Anvil J-Knife 6" Composite, Hammerend</t>
  </si>
  <si>
    <t>Anvil T-Knife 6" SS Plastic, Hammerend</t>
  </si>
  <si>
    <t>CMXTTLV95001</t>
  </si>
  <si>
    <t>Craftsman 1" SS Joint Knife Composite Handle</t>
  </si>
  <si>
    <t>CMXTTLV95002</t>
  </si>
  <si>
    <t>Craftsman 2" SS Joint Knife Composite Handle</t>
  </si>
  <si>
    <t>CMXTTLV95003</t>
  </si>
  <si>
    <t>Craftsman 3" SS Joint Knife Composite Handle</t>
  </si>
  <si>
    <t>CMXTTLV95004</t>
  </si>
  <si>
    <t>Craftsman 4" SS Joint Knife Composite Handle</t>
  </si>
  <si>
    <t>CMXTTLV95005</t>
  </si>
  <si>
    <t>Craftsman 5" SS Joint Knife Composite Handle</t>
  </si>
  <si>
    <t>CMXTTLV95006</t>
  </si>
  <si>
    <t>Craftsman 6" SS Joint Knife Composite Handle</t>
  </si>
  <si>
    <t>CMXTTLV95007</t>
  </si>
  <si>
    <t>Craftsman 8" SS Joint Knife Composite Handle</t>
  </si>
  <si>
    <t>CMXTTLV95008</t>
  </si>
  <si>
    <t>Craftsman 10" SS Joint Knife Composite Handle</t>
  </si>
  <si>
    <t>CMXTTLV95011</t>
  </si>
  <si>
    <t>Craftsman 1" SS Joint Knife Soft Grip</t>
  </si>
  <si>
    <t>CMXTTLV95012</t>
  </si>
  <si>
    <t>Craftsman 2" SS Joint Knife Soft Grip</t>
  </si>
  <si>
    <t>CMXTTLV95013</t>
  </si>
  <si>
    <t>Craftsman 3" SS Joint Knife Soft Grip</t>
  </si>
  <si>
    <t>CMXTTLV95014</t>
  </si>
  <si>
    <t>Craftsman 4" SS Joint Knife Soft Grip</t>
  </si>
  <si>
    <t>CMXTTLV95015</t>
  </si>
  <si>
    <t>Craftsman 5" SS Joint Knife Soft Grip</t>
  </si>
  <si>
    <t>CMXTTLV95016</t>
  </si>
  <si>
    <t>Craftsman 6" SS Joint Knife Soft Grip</t>
  </si>
  <si>
    <t>CMXTTLV95017</t>
  </si>
  <si>
    <t>Craftsman 8" SS Joint Knife Soft Grip</t>
  </si>
  <si>
    <t>CMXTTLV95018</t>
  </si>
  <si>
    <t>Craftsman 10" SS Joint Knife Soft Grip</t>
  </si>
  <si>
    <t>4" DEWALT SS Putty Knife-Welded Handle</t>
  </si>
  <si>
    <t>4" DEWALT Stainless Steel Putty Knife; Hammerend</t>
  </si>
  <si>
    <t>5" DEWALT Stainless Steel Putty Knife; Hammerend</t>
  </si>
  <si>
    <t>6" DEWALT Stainless Steel Putty Knife; Hammerend</t>
  </si>
  <si>
    <t>8" DEWALT Stainless Steel Putty Knife; Hammerend</t>
  </si>
  <si>
    <t>5" DEWALT SS Putty Knife-Welded Handle</t>
  </si>
  <si>
    <t>6" DEWALT SS Putty Knife-Welded Handle</t>
  </si>
  <si>
    <t>2" DEWALT  SS Putty Knife - Welded Handle</t>
  </si>
  <si>
    <t>3" DEWALT SS Putty Knife - Welded Handle</t>
  </si>
  <si>
    <t>3-209</t>
  </si>
  <si>
    <t>DEWALT 3PC Welded Joint &amp; Specialty Knife</t>
  </si>
  <si>
    <t>2-139</t>
  </si>
  <si>
    <t>2-140</t>
  </si>
  <si>
    <t>2-141</t>
  </si>
  <si>
    <t>2-142</t>
  </si>
  <si>
    <t>2-144</t>
  </si>
  <si>
    <t>2-146</t>
  </si>
  <si>
    <t>2-147</t>
  </si>
  <si>
    <t>2-148</t>
  </si>
  <si>
    <t>2-149</t>
  </si>
  <si>
    <t>2-150</t>
  </si>
  <si>
    <t>2-151</t>
  </si>
  <si>
    <t>2-152</t>
  </si>
  <si>
    <t>2-154</t>
  </si>
  <si>
    <t>2-156</t>
  </si>
  <si>
    <t>DXTT-2-160</t>
  </si>
  <si>
    <t>2-160</t>
  </si>
  <si>
    <t>DEWALT 4"CS J-Knife Black Plastic Hndl</t>
  </si>
  <si>
    <t>DXTT-2-161</t>
  </si>
  <si>
    <t>2-161</t>
  </si>
  <si>
    <t>DEWALT 5"CS  J-Knife Black Plastic Hndl</t>
  </si>
  <si>
    <t>DXTT-2-162</t>
  </si>
  <si>
    <t>2-162</t>
  </si>
  <si>
    <t>DEWALT 6"CS J-Knife Black Plastic Hndl</t>
  </si>
  <si>
    <t>DXTT-2-170</t>
  </si>
  <si>
    <t>2-170</t>
  </si>
  <si>
    <t>DEWALT 4"SS J-Knife Black Plastic Hndl</t>
  </si>
  <si>
    <t>DXTT-2-171</t>
  </si>
  <si>
    <t>2-171</t>
  </si>
  <si>
    <t>DEWALT 5"SS  J-Knife Black Plastic Hndl</t>
  </si>
  <si>
    <t>DXTT-2-172</t>
  </si>
  <si>
    <t>2-172</t>
  </si>
  <si>
    <t>DEWALT 6"SS  J-Knife Black Plastic Hndl</t>
  </si>
  <si>
    <t>2-401</t>
  </si>
  <si>
    <t>2-402</t>
  </si>
  <si>
    <t>2-403</t>
  </si>
  <si>
    <t>2-404</t>
  </si>
  <si>
    <t>2-405</t>
  </si>
  <si>
    <t>2-406</t>
  </si>
  <si>
    <t>2-408</t>
  </si>
  <si>
    <t>2-410</t>
  </si>
  <si>
    <t>2-411</t>
  </si>
  <si>
    <t>2-420</t>
  </si>
  <si>
    <t>2-421</t>
  </si>
  <si>
    <t>2-422</t>
  </si>
  <si>
    <t>2-423</t>
  </si>
  <si>
    <t>2-504</t>
  </si>
  <si>
    <t>2-505</t>
  </si>
  <si>
    <t>2-506</t>
  </si>
  <si>
    <t>DXTT-7-139</t>
  </si>
  <si>
    <t>7-139</t>
  </si>
  <si>
    <t>DXTT-7-140</t>
  </si>
  <si>
    <t>7-140</t>
  </si>
  <si>
    <t>7-141</t>
  </si>
  <si>
    <t>7-142</t>
  </si>
  <si>
    <t>DXTT-7-144</t>
  </si>
  <si>
    <t>7-144</t>
  </si>
  <si>
    <t>EU2-139</t>
  </si>
  <si>
    <t>EU2-140</t>
  </si>
  <si>
    <t>EU2-141</t>
  </si>
  <si>
    <t>EU2-142</t>
  </si>
  <si>
    <t>EU2-144</t>
  </si>
  <si>
    <t>EU2-146</t>
  </si>
  <si>
    <t>EU2-147</t>
  </si>
  <si>
    <t>EU2-148</t>
  </si>
  <si>
    <t>EU2-170</t>
  </si>
  <si>
    <t>EU2-171</t>
  </si>
  <si>
    <t>EU2-172</t>
  </si>
  <si>
    <t>EU2-401</t>
  </si>
  <si>
    <t>EU2-402</t>
  </si>
  <si>
    <t>EU2-403</t>
  </si>
  <si>
    <t>EU2-404</t>
  </si>
  <si>
    <t>EU2-405</t>
  </si>
  <si>
    <t>EU2-406</t>
  </si>
  <si>
    <t>EU2-408</t>
  </si>
  <si>
    <t>EU2-410</t>
  </si>
  <si>
    <t>EU2-411</t>
  </si>
  <si>
    <t>DEWALT Welded Joint Knife Grips 5pk</t>
  </si>
  <si>
    <t>EU2-420</t>
  </si>
  <si>
    <t>EU2-421</t>
  </si>
  <si>
    <t>EU2-422</t>
  </si>
  <si>
    <t>EU2-423</t>
  </si>
  <si>
    <t>EU2-504</t>
  </si>
  <si>
    <t>EU2-505</t>
  </si>
  <si>
    <t>EU2-506</t>
  </si>
  <si>
    <t>Husky Joint Knife SS Soft grip hammered end 6"</t>
  </si>
  <si>
    <t>Husky 4" Joint Knife Stainless Steel Soft Grip Handle Hammer End</t>
  </si>
  <si>
    <t>Husky 4, 5, 6in Joint Knife Set</t>
  </si>
  <si>
    <t>Husky joint knife, stainless steel 5" hammer end soft grip handle</t>
  </si>
  <si>
    <t>Husky 8" Joint Knife</t>
  </si>
  <si>
    <t>Husky 7pc Soft Grip joint, Taping, Mud Pan Kit</t>
  </si>
  <si>
    <t>5-662L</t>
  </si>
  <si>
    <t>Composite Joint Knife Set</t>
  </si>
  <si>
    <t>8-139</t>
  </si>
  <si>
    <t>8-140</t>
  </si>
  <si>
    <t>8-141</t>
  </si>
  <si>
    <t>8-142</t>
  </si>
  <si>
    <t>8-144</t>
  </si>
  <si>
    <t>Husky Knock Down Knife</t>
  </si>
  <si>
    <t>Knock Down Knives</t>
  </si>
  <si>
    <t>CMXTTLV95065</t>
  </si>
  <si>
    <t>Craftsman 2-Piece Mixer 4" Head</t>
  </si>
  <si>
    <t>32" DEWALT Pro  Mixing Paddle</t>
  </si>
  <si>
    <t>2-292R</t>
  </si>
  <si>
    <t>REFURB DEWALT Mixer 7" Head 32" Shaft</t>
  </si>
  <si>
    <t>DXTT-2-281</t>
  </si>
  <si>
    <t>2-281</t>
  </si>
  <si>
    <t>DEWALT 5" Professional Mixer w/ 32" Shaft</t>
  </si>
  <si>
    <t>DXTT-2-283</t>
  </si>
  <si>
    <t>2-283</t>
  </si>
  <si>
    <t>DEWALT 2" Professional Mixer w/ 13" Shaft</t>
  </si>
  <si>
    <t>2-291</t>
  </si>
  <si>
    <t>2-292</t>
  </si>
  <si>
    <t>2-293</t>
  </si>
  <si>
    <t>2-294</t>
  </si>
  <si>
    <t>2-295</t>
  </si>
  <si>
    <t>EU2-291</t>
  </si>
  <si>
    <t>EU2-292</t>
  </si>
  <si>
    <t>EU2-293</t>
  </si>
  <si>
    <t>EU2-294</t>
  </si>
  <si>
    <t>EU2-295</t>
  </si>
  <si>
    <t>Husky Welded Square Mixer</t>
  </si>
  <si>
    <t>5-292R</t>
  </si>
  <si>
    <t>REFURB Mixer 7" Head 32" Shaft</t>
  </si>
  <si>
    <t>CMXTTLV95041</t>
  </si>
  <si>
    <t>Craftsman 12" Plastic Mud Pan</t>
  </si>
  <si>
    <t>2-332R</t>
  </si>
  <si>
    <t>REFURB DEWALT 12"SS Mud Pan</t>
  </si>
  <si>
    <t>2-332</t>
  </si>
  <si>
    <t>2-334</t>
  </si>
  <si>
    <t>2-336</t>
  </si>
  <si>
    <t>DXTT-7-332</t>
  </si>
  <si>
    <t>7-332</t>
  </si>
  <si>
    <t>DEWALT 12" SS Mud Pan</t>
  </si>
  <si>
    <t>DXTT-7-334</t>
  </si>
  <si>
    <t>7-334</t>
  </si>
  <si>
    <t>DEWALT 14" SS Mud Pan</t>
  </si>
  <si>
    <t>DXTT-7-336</t>
  </si>
  <si>
    <t>7-336</t>
  </si>
  <si>
    <t>DEWALT 16" SS Mud Pan</t>
  </si>
  <si>
    <t>Husky 14" Stainless Steel Welded Mud pan</t>
  </si>
  <si>
    <t>Husky 12" Welded Stainless Steel Mud Pan</t>
  </si>
  <si>
    <t>5-335</t>
  </si>
  <si>
    <t>14" Plastic Mud Pan</t>
  </si>
  <si>
    <t>5-336R</t>
  </si>
  <si>
    <t>REFURB 16"SS Mud Pan</t>
  </si>
  <si>
    <t>8-332</t>
  </si>
  <si>
    <t>12" SS Mud Pan</t>
  </si>
  <si>
    <t>8-336</t>
  </si>
  <si>
    <t>16" SS Mud Pan</t>
  </si>
  <si>
    <t>2-957</t>
  </si>
  <si>
    <t>DEWALT Hawk Handle</t>
  </si>
  <si>
    <t>DXTT-1600</t>
  </si>
  <si>
    <t>DeWalt Hawk Handle with Pad</t>
  </si>
  <si>
    <t>HE-001</t>
  </si>
  <si>
    <t>Hammer End of Soft Grip Handle</t>
  </si>
  <si>
    <t>Husky Pole Sander w/ 48" Fixed Metal Pole</t>
  </si>
  <si>
    <t>Pole Sander</t>
  </si>
  <si>
    <t>Anvil 9" Radial Pole Sander</t>
  </si>
  <si>
    <t>2-342</t>
  </si>
  <si>
    <t>Husky 9" Radial Sander</t>
  </si>
  <si>
    <t>2-901</t>
  </si>
  <si>
    <t>2-905</t>
  </si>
  <si>
    <t>Husky 9" Roller w/ Frame</t>
  </si>
  <si>
    <t>Husky 9" Roller</t>
  </si>
  <si>
    <t>Anvil 9" Sander Disk, 120 grit, 10 pack</t>
  </si>
  <si>
    <t>Anvil 9" Sander Disk, 150 Grit, 10 Pack</t>
  </si>
  <si>
    <t>ANVIL 9" SND DSK 180 GRT 10PK</t>
  </si>
  <si>
    <t>Anvil 9" Sander Disk 80 grit</t>
  </si>
  <si>
    <t>2-351</t>
  </si>
  <si>
    <t>DEWALT 240 Grit Sanding Disc 10pk</t>
  </si>
  <si>
    <t>DXTT-2-345</t>
  </si>
  <si>
    <t>2-345</t>
  </si>
  <si>
    <t>DEWALT 80 Grit Sanding Disc 10pk</t>
  </si>
  <si>
    <t>2-346</t>
  </si>
  <si>
    <t>2-347</t>
  </si>
  <si>
    <t>2-348</t>
  </si>
  <si>
    <t>DXTT-2-349</t>
  </si>
  <si>
    <t>2-349</t>
  </si>
  <si>
    <t>DEWALT 200 Grit Sanding Disc 10pk</t>
  </si>
  <si>
    <t>DXTT-2-350</t>
  </si>
  <si>
    <t>2-350</t>
  </si>
  <si>
    <t>DEWALT 220 Grit Sanding Disc 10pk</t>
  </si>
  <si>
    <t>Husky 80 Grit, Sanding Disc 10pk</t>
  </si>
  <si>
    <t>Husky 120 Grit, Sanding Disc 10pk</t>
  </si>
  <si>
    <t>Husky 150 Grit, Sanding Disc 10pk</t>
  </si>
  <si>
    <t>CMXTTLV95060</t>
  </si>
  <si>
    <t>Craftsman 9-in-1 Tool</t>
  </si>
  <si>
    <t>6" DEWALT Drywall Clipped Knife</t>
  </si>
  <si>
    <t>3.5" DEWALT Drywall Pointing Knife</t>
  </si>
  <si>
    <t>2-200</t>
  </si>
  <si>
    <t>2-201</t>
  </si>
  <si>
    <t>2-202</t>
  </si>
  <si>
    <t>EU2-200</t>
  </si>
  <si>
    <t>DEWALT 9-in1 Tool-Sft Grp Hndl</t>
  </si>
  <si>
    <t>EU2-201</t>
  </si>
  <si>
    <t>EU2-202</t>
  </si>
  <si>
    <t>5-699</t>
  </si>
  <si>
    <t>Rep 20" Tool Bag</t>
  </si>
  <si>
    <t>Anvil T-Knife 8" SS Plastic, Hammerend</t>
  </si>
  <si>
    <t>Anvil T-Knife 10" SS Plastic, Hammerend</t>
  </si>
  <si>
    <t>Anvil T-Knife 12" SS Plastic, Hammerend</t>
  </si>
  <si>
    <t>Anvil T-Knife 14" SS Plastic, Hammerend</t>
  </si>
  <si>
    <t>CMXTTLV95021</t>
  </si>
  <si>
    <t>Craftsman 6" SS Taping Knife Composite Handle</t>
  </si>
  <si>
    <t>CMXTTLV95022</t>
  </si>
  <si>
    <t>Craftsman 8" SS Taping Knife Composite Handle</t>
  </si>
  <si>
    <t>CMXTTLV95023</t>
  </si>
  <si>
    <t>Craftsman 10" SS Taping Knife Composite Handle</t>
  </si>
  <si>
    <t>CMXTTLV95024</t>
  </si>
  <si>
    <t>Craftsman 12" SS Taping Knife Composite Handle</t>
  </si>
  <si>
    <t>CMXTTLV95025</t>
  </si>
  <si>
    <t>Craftsman 14" SS Taping Knife Composite Handle</t>
  </si>
  <si>
    <t>CMXTTLV95031</t>
  </si>
  <si>
    <t>Craftsman 6" SS Taping Knife Soft Grip</t>
  </si>
  <si>
    <t>CMXTTLV95032</t>
  </si>
  <si>
    <t>Craftsman 8" SS Taping Knife Soft Grip</t>
  </si>
  <si>
    <t>CMXTTLV95033</t>
  </si>
  <si>
    <t>Craftsman 10" SS Taping Knife Soft Grip</t>
  </si>
  <si>
    <t>CMXTTLV95034</t>
  </si>
  <si>
    <t>Craftsman 12" SS Taping Knife Soft Grip</t>
  </si>
  <si>
    <t>CMXTTLV95035</t>
  </si>
  <si>
    <t>Craftsman 14" SS Taping Knife Soft Grip</t>
  </si>
  <si>
    <t>10" DEWALT  BS Taping Knife-Soft Grip</t>
  </si>
  <si>
    <t>10" DEWALT SS Taping Knife-Soft Grip</t>
  </si>
  <si>
    <t>12" DEWALT BS Taping Knife-Soft Grip</t>
  </si>
  <si>
    <t>12" DEWALT SS Taping Knife-Soft Grip</t>
  </si>
  <si>
    <t>14" DEWALT BS Taping Knife - Soft Grip</t>
  </si>
  <si>
    <t>14" DEWALT SS Taping Knife-Soft Grip</t>
  </si>
  <si>
    <t>8" DEWALT SS Taping Knife-Soft Grip</t>
  </si>
  <si>
    <t>2-122</t>
  </si>
  <si>
    <t>2-124</t>
  </si>
  <si>
    <t>2-126</t>
  </si>
  <si>
    <t>2-127</t>
  </si>
  <si>
    <t>2-128</t>
  </si>
  <si>
    <t>2-134</t>
  </si>
  <si>
    <t>2-136</t>
  </si>
  <si>
    <t>2-137</t>
  </si>
  <si>
    <t>2-138</t>
  </si>
  <si>
    <t>2-180</t>
  </si>
  <si>
    <t>2-182</t>
  </si>
  <si>
    <t>2-184</t>
  </si>
  <si>
    <t>2-186</t>
  </si>
  <si>
    <t>2-188</t>
  </si>
  <si>
    <t>2-190</t>
  </si>
  <si>
    <t>2-192</t>
  </si>
  <si>
    <t>2-194</t>
  </si>
  <si>
    <t>2-196</t>
  </si>
  <si>
    <t>2-198</t>
  </si>
  <si>
    <t>2-380</t>
  </si>
  <si>
    <t>2-381</t>
  </si>
  <si>
    <t>2-382</t>
  </si>
  <si>
    <t>2-383</t>
  </si>
  <si>
    <t>2-384</t>
  </si>
  <si>
    <t>2-385</t>
  </si>
  <si>
    <t>2-386</t>
  </si>
  <si>
    <t>2-387</t>
  </si>
  <si>
    <t>2-388</t>
  </si>
  <si>
    <t>2-389</t>
  </si>
  <si>
    <t>2-390</t>
  </si>
  <si>
    <t>2-391</t>
  </si>
  <si>
    <t>2-392</t>
  </si>
  <si>
    <t>DXTT-7-122</t>
  </si>
  <si>
    <t>7-122</t>
  </si>
  <si>
    <t>DXTT-7-124</t>
  </si>
  <si>
    <t>7-124</t>
  </si>
  <si>
    <t>DXTT-7-126</t>
  </si>
  <si>
    <t>7-126</t>
  </si>
  <si>
    <t>DXTT-7-127</t>
  </si>
  <si>
    <t>7-127</t>
  </si>
  <si>
    <t>DXTT-7-128</t>
  </si>
  <si>
    <t>7-128</t>
  </si>
  <si>
    <t>DXTT-7-134</t>
  </si>
  <si>
    <t>7-134</t>
  </si>
  <si>
    <t>DXTT-7-136</t>
  </si>
  <si>
    <t>7-136</t>
  </si>
  <si>
    <t>DXTT-7-137</t>
  </si>
  <si>
    <t>7-137</t>
  </si>
  <si>
    <t>DXTT-7-138</t>
  </si>
  <si>
    <t>7-138</t>
  </si>
  <si>
    <t>EU2-134</t>
  </si>
  <si>
    <t>EU2-136</t>
  </si>
  <si>
    <t>EU2-137</t>
  </si>
  <si>
    <t>EU2-138</t>
  </si>
  <si>
    <t>EU2-190</t>
  </si>
  <si>
    <t>EU2-192</t>
  </si>
  <si>
    <t>EU2-194</t>
  </si>
  <si>
    <t>EU2-196</t>
  </si>
  <si>
    <t>EU2-198</t>
  </si>
  <si>
    <t>EU2-380</t>
  </si>
  <si>
    <t>EU2-381</t>
  </si>
  <si>
    <t>EU2-382</t>
  </si>
  <si>
    <t>EU2-383</t>
  </si>
  <si>
    <t>EU2-384</t>
  </si>
  <si>
    <t>EU2-385</t>
  </si>
  <si>
    <t>EU2-386</t>
  </si>
  <si>
    <t>EU2-387</t>
  </si>
  <si>
    <t>EU2-388</t>
  </si>
  <si>
    <t>EU2-389</t>
  </si>
  <si>
    <t>EU2-390</t>
  </si>
  <si>
    <t>EU2-391</t>
  </si>
  <si>
    <t>EU2-392</t>
  </si>
  <si>
    <t>Husky T-Knife 10" SS SftGrp Hammerend</t>
  </si>
  <si>
    <t>Husky T-Knife 12" SS SftGrp Hammerend</t>
  </si>
  <si>
    <t>5-116</t>
  </si>
  <si>
    <t>10"BS Taping Knife-Plastic Hndl</t>
  </si>
  <si>
    <t>8-122</t>
  </si>
  <si>
    <t>8-124</t>
  </si>
  <si>
    <t>8-126</t>
  </si>
  <si>
    <t>8-127</t>
  </si>
  <si>
    <t>8-128</t>
  </si>
  <si>
    <t>8-134</t>
  </si>
  <si>
    <t>8-136</t>
  </si>
  <si>
    <t>8-137</t>
  </si>
  <si>
    <t>8-138</t>
  </si>
  <si>
    <t>DXTT-2-203</t>
  </si>
  <si>
    <t>2-203</t>
  </si>
  <si>
    <t>DEWALT 4" Trim Puller 4-in-1 Multi Tool</t>
  </si>
  <si>
    <t>2-960R</t>
  </si>
  <si>
    <t>REFURB DEWALT 11.5"Flat SS Trowel .7mm</t>
  </si>
  <si>
    <t>2-961R</t>
  </si>
  <si>
    <t>REFURB DEWALT 12"Flat SS Trowel .7mm</t>
  </si>
  <si>
    <t>2-962R</t>
  </si>
  <si>
    <t>REFURB DEWALT 14"Flat SS Trowel .7mm</t>
  </si>
  <si>
    <t>2-963R</t>
  </si>
  <si>
    <t>REFURB DEWALT 16"Flat SS Trowel .7mm</t>
  </si>
  <si>
    <t>2-964R</t>
  </si>
  <si>
    <t>REFURB DEWALT 18"Flat SS Trowel .7mm</t>
  </si>
  <si>
    <t>2-971R</t>
  </si>
  <si>
    <t>REFURB DEWALT 12"Curved SS Trowel .7mm</t>
  </si>
  <si>
    <t>2-972R</t>
  </si>
  <si>
    <t>REFURB DEWALT 14"Curved SS Trowel .7mm</t>
  </si>
  <si>
    <t>2-973R</t>
  </si>
  <si>
    <t>REFURB DEWALT 16"Curved SS Trowel .7mm</t>
  </si>
  <si>
    <t>2-981R</t>
  </si>
  <si>
    <t>REFURB DEWALT 12"Pro Flex Trowel .5mm</t>
  </si>
  <si>
    <t>2-982R</t>
  </si>
  <si>
    <t>REFURB DEWALT 14"Pro Flex Trowel .5mm</t>
  </si>
  <si>
    <t>2-983R</t>
  </si>
  <si>
    <t>REFURB DEWALT 16"Pro Flex Trowel .5mm</t>
  </si>
  <si>
    <t>2-986R</t>
  </si>
  <si>
    <t>REFURB DEWALT 12"Curved Pro Flex Trowel .5mm</t>
  </si>
  <si>
    <t>2-987R</t>
  </si>
  <si>
    <t>REFURB DEWALT 14"Curved Pro Flex Trowel .5mm</t>
  </si>
  <si>
    <t>2-993R</t>
  </si>
  <si>
    <t>REFURB DEWALT 16"Ultra Flex Trowel .4mm</t>
  </si>
  <si>
    <t>DXTT-2-920</t>
  </si>
  <si>
    <t>2-920</t>
  </si>
  <si>
    <t>DEWALT 12"SS Flt UltraFlex Trwl .3x120mm</t>
  </si>
  <si>
    <t>DXTT-2-921</t>
  </si>
  <si>
    <t>2-921</t>
  </si>
  <si>
    <t>DEWALT 14"SS Flt UltraFlex Trwl .3x120mm</t>
  </si>
  <si>
    <t>DXTT-2-922</t>
  </si>
  <si>
    <t>2-922</t>
  </si>
  <si>
    <t>DEWALT 16"SS Flt Ultraflex Trwl .3x120mm</t>
  </si>
  <si>
    <t>DXTT-2-923</t>
  </si>
  <si>
    <t>2-923</t>
  </si>
  <si>
    <t>DEWALT 18"SS Flt Ultraflex Trwl .3x120mm</t>
  </si>
  <si>
    <t>2-960</t>
  </si>
  <si>
    <t>2-961</t>
  </si>
  <si>
    <t>2-962</t>
  </si>
  <si>
    <t>2-963</t>
  </si>
  <si>
    <t>2-964</t>
  </si>
  <si>
    <t>2-965</t>
  </si>
  <si>
    <t>2-966</t>
  </si>
  <si>
    <t>2-967</t>
  </si>
  <si>
    <t>DXTT-2-968</t>
  </si>
  <si>
    <t>2-968</t>
  </si>
  <si>
    <t>DEWALT 18"SS Flat Flex Trowel .4x100mm</t>
  </si>
  <si>
    <t>2-971</t>
  </si>
  <si>
    <t>2-972</t>
  </si>
  <si>
    <t>2-973</t>
  </si>
  <si>
    <t>2-974</t>
  </si>
  <si>
    <t>2-975</t>
  </si>
  <si>
    <t>2-976</t>
  </si>
  <si>
    <t>DXTT-2-977</t>
  </si>
  <si>
    <t>2-977</t>
  </si>
  <si>
    <t>DEWALT 18"SS Flat Flex Trowel .4x120mm</t>
  </si>
  <si>
    <t>DXTT-2-980</t>
  </si>
  <si>
    <t>2-980</t>
  </si>
  <si>
    <t>DEWALT 11.5"SS Flat Pro Flex Trowel .5mm</t>
  </si>
  <si>
    <t>2-981</t>
  </si>
  <si>
    <t>2-982</t>
  </si>
  <si>
    <t>2-983</t>
  </si>
  <si>
    <t>2-986</t>
  </si>
  <si>
    <t>2-987</t>
  </si>
  <si>
    <t>2-991</t>
  </si>
  <si>
    <t>2-992</t>
  </si>
  <si>
    <t>2-993</t>
  </si>
  <si>
    <t>2-994</t>
  </si>
  <si>
    <t>2-995</t>
  </si>
  <si>
    <t>2-996</t>
  </si>
  <si>
    <t>DXTT-2-997</t>
  </si>
  <si>
    <t>2-997</t>
  </si>
  <si>
    <t>DEWALT 18"SS Flt Ultraflex Trwl .3x100mm</t>
  </si>
  <si>
    <t>EU2-920</t>
  </si>
  <si>
    <t>EU2-921</t>
  </si>
  <si>
    <t>EU2-922</t>
  </si>
  <si>
    <t>EU2-923</t>
  </si>
  <si>
    <t>EU2-960</t>
  </si>
  <si>
    <t>EU2-961</t>
  </si>
  <si>
    <t>EU2-962</t>
  </si>
  <si>
    <t>EU2-963</t>
  </si>
  <si>
    <t>EU2-964</t>
  </si>
  <si>
    <t>EU2-965</t>
  </si>
  <si>
    <t>EU2-966</t>
  </si>
  <si>
    <t>EU2-967</t>
  </si>
  <si>
    <t>EU2-968</t>
  </si>
  <si>
    <t>EU2-971</t>
  </si>
  <si>
    <t>EU2-972</t>
  </si>
  <si>
    <t>EU2-973</t>
  </si>
  <si>
    <t>EU2-974</t>
  </si>
  <si>
    <t>EU2-975</t>
  </si>
  <si>
    <t>EU2-976</t>
  </si>
  <si>
    <t>EU2-977</t>
  </si>
  <si>
    <t>EU2-981</t>
  </si>
  <si>
    <t>EU2-982</t>
  </si>
  <si>
    <t>EU2-983</t>
  </si>
  <si>
    <t>EU2-986</t>
  </si>
  <si>
    <t>EU2-987</t>
  </si>
  <si>
    <t>EU2-991</t>
  </si>
  <si>
    <t>EU2-992</t>
  </si>
  <si>
    <t>EU2-993</t>
  </si>
  <si>
    <t>EU2-994</t>
  </si>
  <si>
    <t>EU2-995</t>
  </si>
  <si>
    <t>EU2-996</t>
  </si>
  <si>
    <t>EU2-997</t>
  </si>
  <si>
    <t>Husky 11" Gold SS Curved Trowel</t>
  </si>
  <si>
    <t>4-920</t>
  </si>
  <si>
    <t>12"SS Flat UltraFlex Trowel .3x120mm</t>
  </si>
  <si>
    <t>4-921</t>
  </si>
  <si>
    <t>14"SS Flat UltraFlex Trowel .3x120mm</t>
  </si>
  <si>
    <t>4-922</t>
  </si>
  <si>
    <t>16"SS Flat Ultraflex Trowel .3x120mm</t>
  </si>
  <si>
    <t>4-923</t>
  </si>
  <si>
    <t>18"SS Flat Ultraflex Trowel .3x120mm</t>
  </si>
  <si>
    <t>4-960R</t>
  </si>
  <si>
    <t>REFURB 11.5"Flat SS Trowel .7mm</t>
  </si>
  <si>
    <t>4-961R</t>
  </si>
  <si>
    <t>REFURB 12"Flat SS Trowel .7mm</t>
  </si>
  <si>
    <t>4-962R</t>
  </si>
  <si>
    <t>REFURB 14"Flat SS Trowel .7mm</t>
  </si>
  <si>
    <t>4-963R</t>
  </si>
  <si>
    <t>REFURB 16"Flat SS Trowel .7mm</t>
  </si>
  <si>
    <t>4-964R</t>
  </si>
  <si>
    <t>REFURB 18"Flat SS Trowel .7mm</t>
  </si>
  <si>
    <t>4-968</t>
  </si>
  <si>
    <t>18"SS Flat Flex Trowel .4x100mm</t>
  </si>
  <si>
    <t>4-969</t>
  </si>
  <si>
    <t>Finishing Trowel Composite Handle</t>
  </si>
  <si>
    <t>4-971R</t>
  </si>
  <si>
    <t>REFURB 12"Curved SS Trowel .7mm</t>
  </si>
  <si>
    <t>4-972R</t>
  </si>
  <si>
    <t>REFURB 14"Curved SS Trowel .7mm</t>
  </si>
  <si>
    <t>4-973R</t>
  </si>
  <si>
    <t>REFURB 16"Curved SS Trowel .7mm</t>
  </si>
  <si>
    <t>4-977</t>
  </si>
  <si>
    <t>18"SS Flat Flex Trowel .4x120mm</t>
  </si>
  <si>
    <t>4-981</t>
  </si>
  <si>
    <t>12"SS Flat Pro Flex Trowel .5mm</t>
  </si>
  <si>
    <t>4-982</t>
  </si>
  <si>
    <t>14"SS Flat Pro Flex Trowel .5mm</t>
  </si>
  <si>
    <t>4-982R</t>
  </si>
  <si>
    <t>REFURB 14"SS Flat Pro Flex Trowel .5mm</t>
  </si>
  <si>
    <t>4-983</t>
  </si>
  <si>
    <t>16"SS Flat Pro Flex Trowel .5mm</t>
  </si>
  <si>
    <t>4-983R</t>
  </si>
  <si>
    <t>REFURB 16"SS Flat Pro Flex Trowel .5mm</t>
  </si>
  <si>
    <t>4-988R</t>
  </si>
  <si>
    <t>REFURB 12"SS Curved Pro Flex Trowel .5mm</t>
  </si>
  <si>
    <t>4-989R</t>
  </si>
  <si>
    <t>REFURB 14"SS Curved Pro Flex Trowel .5mm</t>
  </si>
  <si>
    <t>4-992</t>
  </si>
  <si>
    <t>14"SS Flat Ultra Flex Trowel .4mm</t>
  </si>
  <si>
    <t>4-993R</t>
  </si>
  <si>
    <t>REFURB 16"SS Flat Ultra Flex Trowel .4mm</t>
  </si>
  <si>
    <t>4-997</t>
  </si>
  <si>
    <t>18"SS Flat Ultraflex Trowel .3x100mm</t>
  </si>
  <si>
    <t>DXTT-2-301</t>
  </si>
  <si>
    <t>2-301</t>
  </si>
  <si>
    <t>DEWALT 48" Adj Drywall Square</t>
  </si>
  <si>
    <t>2-302</t>
  </si>
  <si>
    <t>Husky 48" Fixed T-Square</t>
  </si>
  <si>
    <t>Husky 48" Fixed T-Square, Red Anodized</t>
  </si>
  <si>
    <t>5-301</t>
  </si>
  <si>
    <t>48" Adj Drywall Square</t>
  </si>
  <si>
    <t>Husky Folding Fixed Knife</t>
  </si>
  <si>
    <t>Utility Knife</t>
  </si>
  <si>
    <t>DXTT-2-311</t>
  </si>
  <si>
    <t>2-311</t>
  </si>
  <si>
    <t>DEWALT Drywall Banjo</t>
  </si>
  <si>
    <t>Husky Drywall Banjo</t>
  </si>
  <si>
    <t>5-311R</t>
  </si>
  <si>
    <t>REFURB Drywall Banjo</t>
  </si>
  <si>
    <t>4-731</t>
  </si>
  <si>
    <t>24" Compound Tube</t>
  </si>
  <si>
    <t>4-741R</t>
  </si>
  <si>
    <t>REFURB 42" Compound Tube</t>
  </si>
  <si>
    <t>DXTT-2-743</t>
  </si>
  <si>
    <t>2-743</t>
  </si>
  <si>
    <t xml:space="preserve">DEWALT 3"Direct Corner Flusher w/Wheels </t>
  </si>
  <si>
    <t>DXTT-2-744</t>
  </si>
  <si>
    <t>2-744</t>
  </si>
  <si>
    <t xml:space="preserve">DEWALT3.5"Direct Corner Flusher w/Wheels </t>
  </si>
  <si>
    <t>4-744R</t>
  </si>
  <si>
    <t>REFURB 3.5"Direct Corner Flusher w/Wheels</t>
  </si>
  <si>
    <t>2-941R</t>
  </si>
  <si>
    <t>REFURB DEWALT Skimming Blade Adapter</t>
  </si>
  <si>
    <t>2-942R</t>
  </si>
  <si>
    <t>REFURB DEWALT 37"-63"Skimming Blade Ext Hndl</t>
  </si>
  <si>
    <t>2-943R</t>
  </si>
  <si>
    <t>REFURB DEWALT 48"-87"Skimming Blade Ext Hndl</t>
  </si>
  <si>
    <t>2-944R</t>
  </si>
  <si>
    <t>REFURB DEWALT 21"-32"Skimming Blade Ext Hndl</t>
  </si>
  <si>
    <t>2-941</t>
  </si>
  <si>
    <t>2-942</t>
  </si>
  <si>
    <t>2-943</t>
  </si>
  <si>
    <t>2-944</t>
  </si>
  <si>
    <t>DXTT-2-946</t>
  </si>
  <si>
    <t>2-946</t>
  </si>
  <si>
    <t>DEWALT 21"-60"Skimming Blade Ext Hndl</t>
  </si>
  <si>
    <t>DXTT-2-947</t>
  </si>
  <si>
    <t>2-947</t>
  </si>
  <si>
    <t>DEWALT 48"-84"Skimming Blade Ext Hndl</t>
  </si>
  <si>
    <t>EU2-941</t>
  </si>
  <si>
    <t>EU2-942</t>
  </si>
  <si>
    <t>EU2-943</t>
  </si>
  <si>
    <t>EU2-944</t>
  </si>
  <si>
    <t>Husky Skimming Blade Handle &amp; Adapter</t>
  </si>
  <si>
    <t>4-941R</t>
  </si>
  <si>
    <t>REFURB Skimming Blade Adapter</t>
  </si>
  <si>
    <t>4-942R</t>
  </si>
  <si>
    <t>REFURB 37"-63"Skimming Blade Ext Hndl</t>
  </si>
  <si>
    <t>4-943R</t>
  </si>
  <si>
    <t>REFURB 48"-87"Skimming Blade Ext Hndl</t>
  </si>
  <si>
    <t>4-944</t>
  </si>
  <si>
    <t>21"-32"Skimming Blade Ext Hndl</t>
  </si>
  <si>
    <t>4-944R</t>
  </si>
  <si>
    <t>REFURB 21"-32"Skimming Blade Ext Hndl</t>
  </si>
  <si>
    <t>U-942</t>
  </si>
  <si>
    <t>37"-63" Skimming Blade Ext Hndl-Unbranded</t>
  </si>
  <si>
    <t>2-305</t>
  </si>
  <si>
    <t>2-306</t>
  </si>
  <si>
    <t>DXTT-2-748</t>
  </si>
  <si>
    <t>2-748</t>
  </si>
  <si>
    <t>DEWALT 90° Outside Corner Applicator Head</t>
  </si>
  <si>
    <t>4-748R</t>
  </si>
  <si>
    <t>REFURB Plastic Corner Tool</t>
  </si>
  <si>
    <t>DXTT-2-909</t>
  </si>
  <si>
    <t>2-909</t>
  </si>
  <si>
    <t>DEWALT Thread Adpt for Skim Blade Hndl</t>
  </si>
  <si>
    <t>2-959</t>
  </si>
  <si>
    <t>EU2-959</t>
  </si>
  <si>
    <t>3-440R</t>
  </si>
  <si>
    <t>REFURB DEWALT 10"16"24"Skim Set w/Ext Hndl+Adpt</t>
  </si>
  <si>
    <t>3-441OS</t>
  </si>
  <si>
    <t>DEWALT 10"24"32"Skim Set w/Ext Hndl+Adpt Original Style</t>
  </si>
  <si>
    <t>3-444R</t>
  </si>
  <si>
    <t>REFURB Skimming Blade Set: 10", 24" &amp; 32" Blades</t>
  </si>
  <si>
    <t>2-945</t>
  </si>
  <si>
    <t>DEWALT 37"-63"Skimming Blade Hndl w/Adpt</t>
  </si>
  <si>
    <t>DXTT-3-422</t>
  </si>
  <si>
    <t>3-422</t>
  </si>
  <si>
    <t>DEWALT 10"Skim Blade w/Med Ext Hndl+Adpt</t>
  </si>
  <si>
    <t>DXTT-3-423</t>
  </si>
  <si>
    <t>3-423</t>
  </si>
  <si>
    <t>DEWALT 14"Skim Blade w/Med Ext Hndl+Adpt</t>
  </si>
  <si>
    <t>DXTT-3-424</t>
  </si>
  <si>
    <t>3-424</t>
  </si>
  <si>
    <t>DEWALT 16"Skim Blade w/Med Ext Hndl+Adpt</t>
  </si>
  <si>
    <t>DXTT-3-425</t>
  </si>
  <si>
    <t>3-425</t>
  </si>
  <si>
    <t>DEWALT 24"Skim Blade w/Med Ext Hndl+Adpt</t>
  </si>
  <si>
    <t>DXTT-3-426</t>
  </si>
  <si>
    <t>3-426</t>
  </si>
  <si>
    <t>DEWALT 32"Skim Blade w/Med Ext Hndl+Adpt</t>
  </si>
  <si>
    <t>DXTT-3-428</t>
  </si>
  <si>
    <t>3-428</t>
  </si>
  <si>
    <t>DEWALT 10"Skim Blade w/L Ext Hndl+Adpt</t>
  </si>
  <si>
    <t>DXTT-3-429</t>
  </si>
  <si>
    <t>3-429</t>
  </si>
  <si>
    <t>DEWALT 14"Skim Blade w/L Ext Hndl+Adpt</t>
  </si>
  <si>
    <t>DXTT-3-431</t>
  </si>
  <si>
    <t>3-431</t>
  </si>
  <si>
    <t>DEWALT 24"Skim Blade w/L Ext Hndl+Adpt</t>
  </si>
  <si>
    <t>DXTT-3-432</t>
  </si>
  <si>
    <t>3-432</t>
  </si>
  <si>
    <t>DEWALT 32"Skim Blade w/L Ext Hndl+Adpt</t>
  </si>
  <si>
    <t>DXTT-3-434</t>
  </si>
  <si>
    <t>3-434</t>
  </si>
  <si>
    <t>DEWALT 10"Skim Blade w/Sm Ext Hndl+Adpt</t>
  </si>
  <si>
    <t>DXTT-3-435</t>
  </si>
  <si>
    <t>3-435</t>
  </si>
  <si>
    <t>DEWALT 14"Skim Blade w/Sm Ext Hndl+Adpt</t>
  </si>
  <si>
    <t>DXTT-3-436</t>
  </si>
  <si>
    <t>3-436</t>
  </si>
  <si>
    <t>DEWALT 16"Skim Blade w/Sm Ext Hndl+Adpt</t>
  </si>
  <si>
    <t>DXTT-3-437</t>
  </si>
  <si>
    <t>3-437</t>
  </si>
  <si>
    <t>DEWALT 24"Skim Blade w/Sm Ext Hndl+Adpt</t>
  </si>
  <si>
    <t>DXTT-3-438</t>
  </si>
  <si>
    <t>3-438</t>
  </si>
  <si>
    <t>DEWALT 32"Skim Blade w/Sm Ext Hndl+Adpt</t>
  </si>
  <si>
    <t>DXTT-3-439</t>
  </si>
  <si>
    <t>3-439</t>
  </si>
  <si>
    <t>DEWALT 7"10"16" Skim Set w/Ext Hndl+Adpt</t>
  </si>
  <si>
    <t>3-440</t>
  </si>
  <si>
    <t>DEWALT 10"16"24"Skim Set w/Ext Hndl+Adpt</t>
  </si>
  <si>
    <t>3-441</t>
  </si>
  <si>
    <t>DEWALT 10"24"32"Skim Set w/Ext Hndl+Adpt</t>
  </si>
  <si>
    <t>DXTT-3-442</t>
  </si>
  <si>
    <t>3-442</t>
  </si>
  <si>
    <t>DEWALT 7",10",16" Skimming Blade Set</t>
  </si>
  <si>
    <t>DXTT-3-443</t>
  </si>
  <si>
    <t>3-443</t>
  </si>
  <si>
    <t>DEWALT 10",16",24" Skimming Blade Set</t>
  </si>
  <si>
    <t>DXTT-3-444</t>
  </si>
  <si>
    <t>3-444</t>
  </si>
  <si>
    <t>DEWALT 10",24",32" Skimming Blade Set</t>
  </si>
  <si>
    <t>DXTT-3-445</t>
  </si>
  <si>
    <t>3-445</t>
  </si>
  <si>
    <t>DEWALT 16"24"32" SkimSet w/Ext Hndl+Adpt</t>
  </si>
  <si>
    <t>DXTT-3-446</t>
  </si>
  <si>
    <t>3-446</t>
  </si>
  <si>
    <t>DEWALT Ultimate Skimming Blade Set</t>
  </si>
  <si>
    <t>DXTT-3-452</t>
  </si>
  <si>
    <t>3-452</t>
  </si>
  <si>
    <t>Longblade Knife Set</t>
  </si>
  <si>
    <t>DXTT-3-622</t>
  </si>
  <si>
    <t>3-622</t>
  </si>
  <si>
    <t>37"-63"Skimming Blade Hndl w/Adpt</t>
  </si>
  <si>
    <t>5-422</t>
  </si>
  <si>
    <t>10"Skimming Blade w/2'-5'Hndl+Adpt</t>
  </si>
  <si>
    <t>5-422C</t>
  </si>
  <si>
    <t>10"C Skimming Blade w/2'-5'Hndl+Adpt</t>
  </si>
  <si>
    <t>5-423</t>
  </si>
  <si>
    <t>14"Skimming Blade w/2'-5'Hndl+Adpt</t>
  </si>
  <si>
    <t>5-423C</t>
  </si>
  <si>
    <t>14"C Skimming Blade w/2'-5'Hndl+Adpt</t>
  </si>
  <si>
    <t>5-424</t>
  </si>
  <si>
    <t>16"Skimming Blade w/2'-5'Hndl+Adpt</t>
  </si>
  <si>
    <t>5-424C</t>
  </si>
  <si>
    <t>16"C Skimming Blade w/2'-5'Hndl+Adpt</t>
  </si>
  <si>
    <t>5-425</t>
  </si>
  <si>
    <t>24"Skimming Blade w/2'-5'Hndl+Adpt</t>
  </si>
  <si>
    <t>24"C Skimming Blade w/2'-5'Hndl+Adpt</t>
  </si>
  <si>
    <t>5-425CR</t>
  </si>
  <si>
    <t>REFURB 24"C Skimming Blade w/2'-5'Hndl+Adpt</t>
  </si>
  <si>
    <t>5-425R</t>
  </si>
  <si>
    <t>REFURB 24"Skimming Blade w/2'-5'Hndl+Adpt</t>
  </si>
  <si>
    <t>5-426</t>
  </si>
  <si>
    <t>32"Skimming Blade w/2'-5'Hndl+Adpt</t>
  </si>
  <si>
    <t>5-426C</t>
  </si>
  <si>
    <t>32"C Skimming Blade w/2'-5'Hndl+Adpt</t>
  </si>
  <si>
    <t>5-426R</t>
  </si>
  <si>
    <t>REFURB 32"Skimming Blade w/2'-5'Hndl+Adpt</t>
  </si>
  <si>
    <t>5-428</t>
  </si>
  <si>
    <t>10"Skimming Blade w/4'-7'Hndl+Adpt</t>
  </si>
  <si>
    <t>5-428C</t>
  </si>
  <si>
    <t>10"C Skimming Blade w/4'-7'Hndl+Adpt</t>
  </si>
  <si>
    <t>5-429</t>
  </si>
  <si>
    <t>14"Skimming Blade w/4'-7'Hndl+Adpt</t>
  </si>
  <si>
    <t>5-429C</t>
  </si>
  <si>
    <t>14"C Skimming Blade w/4'-7'Hndl+Adpt</t>
  </si>
  <si>
    <t>5-430</t>
  </si>
  <si>
    <t>16"Skimming Blade w/4'-7'Hndl+Adpt</t>
  </si>
  <si>
    <t>5-430C</t>
  </si>
  <si>
    <t>16"C Skimming Blade w/4'-7'Hndl+Adpt</t>
  </si>
  <si>
    <t>5-431</t>
  </si>
  <si>
    <t>24"Skimming Blade w/4'-7'Hndl+Adpt</t>
  </si>
  <si>
    <t>5-431C</t>
  </si>
  <si>
    <t>24"C Skimming Blade w/4'-7'Hndl+Adpt</t>
  </si>
  <si>
    <t>5-432</t>
  </si>
  <si>
    <t>32"Skimming Blade w/4'-7'Hndl+Adpt</t>
  </si>
  <si>
    <t>5-432C</t>
  </si>
  <si>
    <t>32"C Skimming Blade w/4'-7'Hndl+Adpt</t>
  </si>
  <si>
    <t>5-434</t>
  </si>
  <si>
    <t>10"Skimming Blade w/18"-3'Hndl+Adpt</t>
  </si>
  <si>
    <t>5-435</t>
  </si>
  <si>
    <t>14"Skimming Blade w/18"-3'Hndl+Adpt</t>
  </si>
  <si>
    <t>5-436</t>
  </si>
  <si>
    <t>16"Skimming Blade w/18"-36"Hndl+Adpt</t>
  </si>
  <si>
    <t>5-437</t>
  </si>
  <si>
    <t>24"Skimming Blade w/18"-3'Hndl+Adpt</t>
  </si>
  <si>
    <t>5-437R</t>
  </si>
  <si>
    <t>REFURB 24"Skimming Blade w/18"-3'Hndl+Adpt</t>
  </si>
  <si>
    <t>5-438</t>
  </si>
  <si>
    <t>32"Skimming Blade w/18"-3'Hndl+Adpt</t>
  </si>
  <si>
    <t>5-438R</t>
  </si>
  <si>
    <t>REFURB 32"Skimming Blade w/18"-3'Hndl+Adpt</t>
  </si>
  <si>
    <t>5-439</t>
  </si>
  <si>
    <t>7",10",16"Skim Set w/Ext Hndl+Adpt</t>
  </si>
  <si>
    <t>10",16",24"C Skim Set w/Ext Hndl+Adpt</t>
  </si>
  <si>
    <t>10",24",32"C Skim Set w/Ext Hndl+Adpt</t>
  </si>
  <si>
    <t>5-441CR</t>
  </si>
  <si>
    <t>REFURB 10",24",32"C Skim Set w/Ext Hndl+Adpt</t>
  </si>
  <si>
    <t>5-441OS</t>
  </si>
  <si>
    <t>10",24",32"Skim Set w/Ext Hndl+Adpt Original Style</t>
  </si>
  <si>
    <t>5-441R</t>
  </si>
  <si>
    <t>REFURB 10",24",32"Skim Set w/Ext Hndl+Adpt</t>
  </si>
  <si>
    <t>5-442</t>
  </si>
  <si>
    <t>7",10",16"Skimming Blade Set</t>
  </si>
  <si>
    <t>5-443</t>
  </si>
  <si>
    <t>10",16",24"Skimming Blade Set</t>
  </si>
  <si>
    <t>5-443C</t>
  </si>
  <si>
    <t>10",16",24"C Skimming Blade Set</t>
  </si>
  <si>
    <t>5-443CR</t>
  </si>
  <si>
    <t>REFURB 10",16",24"C Skimming Blade Set</t>
  </si>
  <si>
    <t>5-443R</t>
  </si>
  <si>
    <t>REFURB 10",16",24"Skimming Blade Set</t>
  </si>
  <si>
    <t>10",24",32"Skimming Blade Set</t>
  </si>
  <si>
    <t>10",24",32"C Skimming Blade Set</t>
  </si>
  <si>
    <t>5-444CR</t>
  </si>
  <si>
    <t>REFURB 10",24",32"C Skimming Blade Set</t>
  </si>
  <si>
    <t>5-446</t>
  </si>
  <si>
    <t>Ultimate Skimming Blade Set</t>
  </si>
  <si>
    <t>5-446C</t>
  </si>
  <si>
    <t>Ultimate C Skimming Blade Set</t>
  </si>
  <si>
    <t>5-550R</t>
  </si>
  <si>
    <t>REFURB Skimming Blade &amp; Roller Set w/Case</t>
  </si>
  <si>
    <t>5-660L</t>
  </si>
  <si>
    <t>Roll Skim Sand Starter Kit</t>
  </si>
  <si>
    <t>5-805</t>
  </si>
  <si>
    <t>9"M Roller,24"Skimming w/2'-5'Hndl+Adpt</t>
  </si>
  <si>
    <t>5-806</t>
  </si>
  <si>
    <t>12"M Roller,24"Skimming w/2'-5'Hndl+Adpt</t>
  </si>
  <si>
    <t>5-807</t>
  </si>
  <si>
    <t>9"M Roller,32"Skimming w/2'-5'Hndl+Adpt</t>
  </si>
  <si>
    <t>5-808</t>
  </si>
  <si>
    <t>12"M Roller,32"Skimming w/2'-5'Hndl+Adpt</t>
  </si>
  <si>
    <t>2-907R</t>
  </si>
  <si>
    <t>REFURB DEWALT 7"Skimming Blade</t>
  </si>
  <si>
    <t>2-910R</t>
  </si>
  <si>
    <t>REFURB DEWALT 10"Skimming Blade</t>
  </si>
  <si>
    <t>2-914R</t>
  </si>
  <si>
    <t>REFURB DEWALT 14"Skimming Blade</t>
  </si>
  <si>
    <t>2-916R</t>
  </si>
  <si>
    <t>REFURB DEWALT 16"Skimming Blade</t>
  </si>
  <si>
    <t>2-924R</t>
  </si>
  <si>
    <t>REFURB DEWALT 24"Skimming Blade</t>
  </si>
  <si>
    <t>2-932R</t>
  </si>
  <si>
    <t>REFURB DEWALT 32"Skimming Blade</t>
  </si>
  <si>
    <t>2-940R</t>
  </si>
  <si>
    <t>REFURB DEWALT 40"Skimming Blade</t>
  </si>
  <si>
    <t>2-948R</t>
  </si>
  <si>
    <t>REFURB DEWALT 48"Skimming Blade</t>
  </si>
  <si>
    <t>2-907</t>
  </si>
  <si>
    <t>2-910</t>
  </si>
  <si>
    <t>DXTT-2-910C</t>
  </si>
  <si>
    <t>2-910C</t>
  </si>
  <si>
    <t>DEWALT 10" Composite Skimming Blade</t>
  </si>
  <si>
    <t>2-914</t>
  </si>
  <si>
    <t>DXTT-2-914C</t>
  </si>
  <si>
    <t>2-914C</t>
  </si>
  <si>
    <t>DEWALT 14" Composite Skimming Blade</t>
  </si>
  <si>
    <t>2-916</t>
  </si>
  <si>
    <t>2-924</t>
  </si>
  <si>
    <t>DXTT-2-924C</t>
  </si>
  <si>
    <t>2-924C</t>
  </si>
  <si>
    <t>DEWALT 24" Composite Skimming Blade</t>
  </si>
  <si>
    <t>2-932</t>
  </si>
  <si>
    <t>DXTT-2-932C</t>
  </si>
  <si>
    <t>2-932C</t>
  </si>
  <si>
    <t>DEWALT 32" Composite Skimming Blade</t>
  </si>
  <si>
    <t>2-940</t>
  </si>
  <si>
    <t>2-948</t>
  </si>
  <si>
    <t>2-949</t>
  </si>
  <si>
    <t>DEWALT 7"Skimming Blade Insert</t>
  </si>
  <si>
    <t>2-950</t>
  </si>
  <si>
    <t>2-951</t>
  </si>
  <si>
    <t>2-952</t>
  </si>
  <si>
    <t>2-953</t>
  </si>
  <si>
    <t>2-954</t>
  </si>
  <si>
    <t>2-955</t>
  </si>
  <si>
    <t>2-956</t>
  </si>
  <si>
    <t>EU2-907</t>
  </si>
  <si>
    <t>EU2-910</t>
  </si>
  <si>
    <t>EU2-914</t>
  </si>
  <si>
    <t>EU2-916</t>
  </si>
  <si>
    <t>EU2-924</t>
  </si>
  <si>
    <t>EU2-932</t>
  </si>
  <si>
    <t>EU2-940</t>
  </si>
  <si>
    <t>EU2-948</t>
  </si>
  <si>
    <t>EU2-949</t>
  </si>
  <si>
    <t>EU2-950</t>
  </si>
  <si>
    <t>EU2-951</t>
  </si>
  <si>
    <t>EU2-952</t>
  </si>
  <si>
    <t>EU2-953</t>
  </si>
  <si>
    <t>EU2-954</t>
  </si>
  <si>
    <t>EU2-955</t>
  </si>
  <si>
    <t>EU2-956</t>
  </si>
  <si>
    <t>Husky 24" Skimming Blade</t>
  </si>
  <si>
    <t>4-907R</t>
  </si>
  <si>
    <t>REFURB 7"Skimming Blade</t>
  </si>
  <si>
    <t>4-910CR</t>
  </si>
  <si>
    <t>REFURB 10"Composite Skimming Blade</t>
  </si>
  <si>
    <t>4-910R</t>
  </si>
  <si>
    <t>REFURB 10"Skimming Blade</t>
  </si>
  <si>
    <t>4-914CR</t>
  </si>
  <si>
    <t>REFURB 14"Composite Skimming Blade</t>
  </si>
  <si>
    <t>4-914R</t>
  </si>
  <si>
    <t>REFURB 14"Skimming Blade</t>
  </si>
  <si>
    <t>4-916CR</t>
  </si>
  <si>
    <t>REFURB 16"Composite Skimming Blade</t>
  </si>
  <si>
    <t>4-916R</t>
  </si>
  <si>
    <t>REFURB 16"Skimming Blade</t>
  </si>
  <si>
    <t>4-924CR</t>
  </si>
  <si>
    <t>REFURB 24"Composite Skimming Blade</t>
  </si>
  <si>
    <t>4-924R</t>
  </si>
  <si>
    <t>REFURB 24"Skimming Blade</t>
  </si>
  <si>
    <t>4-932CR</t>
  </si>
  <si>
    <t>REFURB 32"Composite Skimming Blade</t>
  </si>
  <si>
    <t>4-932R</t>
  </si>
  <si>
    <t>REFURB 32"Skimming Blade</t>
  </si>
  <si>
    <t>4-940R</t>
  </si>
  <si>
    <t>REFURB 40"Skimming Blade</t>
  </si>
  <si>
    <t>4-948R</t>
  </si>
  <si>
    <t>REFURB 48"Skimming Blade</t>
  </si>
  <si>
    <t>1-460</t>
  </si>
  <si>
    <t>Aluminum Case For Skimming Blades</t>
  </si>
  <si>
    <t>5-551</t>
  </si>
  <si>
    <t>Empty Red Skimming Blade Case</t>
  </si>
  <si>
    <t>1-261</t>
  </si>
  <si>
    <t>DEWALT Small Trowel Card</t>
  </si>
  <si>
    <t>1-262</t>
  </si>
  <si>
    <t>DEWALT Large Trowel Card</t>
  </si>
  <si>
    <t>Brochure-DEWALT Hand Tools</t>
  </si>
  <si>
    <t>Brochure-DEWALT Automatic Taping Tools</t>
  </si>
  <si>
    <t>1-251</t>
  </si>
  <si>
    <t>Small Trowel Card</t>
  </si>
  <si>
    <t>1-252</t>
  </si>
  <si>
    <t>Large Trowel Card</t>
  </si>
  <si>
    <t>1-106</t>
  </si>
  <si>
    <t>Red T-Shirt Version 1 - 3XL</t>
  </si>
  <si>
    <t>Clothing</t>
  </si>
  <si>
    <t>1-112</t>
  </si>
  <si>
    <t>OLD 1-112</t>
  </si>
  <si>
    <t>T-Shirt, Safety Green, Medium</t>
  </si>
  <si>
    <t>1-114</t>
  </si>
  <si>
    <t>Safety Green  T-Shirt Version 1 - XL</t>
  </si>
  <si>
    <t>1-115</t>
  </si>
  <si>
    <t>Safety Green 2XLarge Version 01 T-Shirt</t>
  </si>
  <si>
    <t>1-116</t>
  </si>
  <si>
    <t>Safety Green T-Shirt Version 1 - 3XL</t>
  </si>
  <si>
    <t>1-201</t>
  </si>
  <si>
    <t>Red T-Shirt Version 2- Small</t>
  </si>
  <si>
    <t>1-204</t>
  </si>
  <si>
    <t>Red T-Shirt Version 2 - XL</t>
  </si>
  <si>
    <t>1-206</t>
  </si>
  <si>
    <t>Red T-Shirt Version 2 - 3XL</t>
  </si>
  <si>
    <t>1-207</t>
  </si>
  <si>
    <t>Pink T-Shirt Version 2-Small</t>
  </si>
  <si>
    <t>1-208</t>
  </si>
  <si>
    <t>Pink T-Shirt Version 2-Medium</t>
  </si>
  <si>
    <t>1-209</t>
  </si>
  <si>
    <t>Pink T-Shirt Version 2-Large</t>
  </si>
  <si>
    <t>1-210</t>
  </si>
  <si>
    <t>Pink T-Shirt Version 2-X Large</t>
  </si>
  <si>
    <t>1-211</t>
  </si>
  <si>
    <t>Pink T-Shirt Version 2-2XL</t>
  </si>
  <si>
    <t>1-212</t>
  </si>
  <si>
    <t>Pink T-Shirt Version 2-3XL</t>
  </si>
  <si>
    <t>1-213</t>
  </si>
  <si>
    <t>Pink T-Shirt Version 2-4XL</t>
  </si>
  <si>
    <t>1-315</t>
  </si>
  <si>
    <t>Red T-Shirt Version 3 - 2XL</t>
  </si>
  <si>
    <t>1-316</t>
  </si>
  <si>
    <t>Red T-Shirt Version 3 - 3XL</t>
  </si>
  <si>
    <t>1-411</t>
  </si>
  <si>
    <t>Red Camo T-Shirt Version 4 - Small</t>
  </si>
  <si>
    <t>1-412</t>
  </si>
  <si>
    <t>Red Camo T-Shirt Version 4 - Medium</t>
  </si>
  <si>
    <t>1-413</t>
  </si>
  <si>
    <t>Red Camo T-Shirt Version 4 - Large</t>
  </si>
  <si>
    <t>1-414</t>
  </si>
  <si>
    <t>Red Camo T-Shirt Version 4 - XL</t>
  </si>
  <si>
    <t>1-415</t>
  </si>
  <si>
    <t>Red Camo T-Shirt Version 4 - 2XL</t>
  </si>
  <si>
    <t>1-416</t>
  </si>
  <si>
    <t>Red Camo T-Shirt Version 4 - 3XL</t>
  </si>
  <si>
    <t>1-240</t>
  </si>
  <si>
    <t>Dewalt Blister Pack Display</t>
  </si>
  <si>
    <t>1-280</t>
  </si>
  <si>
    <t>DeWalt Display Header</t>
  </si>
  <si>
    <t>9-201</t>
  </si>
  <si>
    <t>Dealer Sign-DEWALT</t>
  </si>
  <si>
    <t>9-203</t>
  </si>
  <si>
    <t>Banner-DEWALT</t>
  </si>
  <si>
    <t>DXTT-1-602</t>
  </si>
  <si>
    <t>1-602</t>
  </si>
  <si>
    <t>DeWalt Hand Tool Display w/ Tools</t>
  </si>
  <si>
    <t>DXTT-1-702</t>
  </si>
  <si>
    <t>1-702</t>
  </si>
  <si>
    <t>DeWalt ATT Display w/ Tools</t>
  </si>
  <si>
    <t>1-275</t>
  </si>
  <si>
    <t>4" Peg Hook 1/4" Diameter-for Gondola 50 Pack</t>
  </si>
  <si>
    <t>1-276</t>
  </si>
  <si>
    <t>Level 5 New Customer Card - WWV</t>
  </si>
  <si>
    <t>1-290</t>
  </si>
  <si>
    <t>Level 5 Display Header</t>
  </si>
  <si>
    <t>1-601</t>
  </si>
  <si>
    <t>Level 5 Hand Tool Display w/ Tools</t>
  </si>
  <si>
    <t>1-701</t>
  </si>
  <si>
    <t>Level 5 ATT Display w/ Tools</t>
  </si>
  <si>
    <t>9-204</t>
  </si>
  <si>
    <t>Menards Sign-L5 Large</t>
  </si>
  <si>
    <t>9-205</t>
  </si>
  <si>
    <t>Menards Sign-L5 Small</t>
  </si>
  <si>
    <t>9-211</t>
  </si>
  <si>
    <t>LEVEL5 Auth Service Center Sign</t>
  </si>
  <si>
    <t>Labor</t>
  </si>
  <si>
    <t>Labor Revenue</t>
  </si>
  <si>
    <t>1008367-00U0052</t>
  </si>
  <si>
    <t>HD ADJ MOUNT BRKT 4PK SGRY</t>
  </si>
  <si>
    <t>1013162-9948U0052</t>
  </si>
  <si>
    <t>HD 99X48 METAL PEGWALL SGRY</t>
  </si>
  <si>
    <t>1022028-00U0000</t>
  </si>
  <si>
    <t>HD PLUMB 4PC SHELF BRKT KIT</t>
  </si>
  <si>
    <t>1026552-E0U0052</t>
  </si>
  <si>
    <t>108" x42" Perf Shelves</t>
  </si>
  <si>
    <t>9-300</t>
  </si>
  <si>
    <t>New Customer Welcome Set</t>
  </si>
  <si>
    <t>Adjustment</t>
  </si>
  <si>
    <t>Price adjustments for parts</t>
  </si>
  <si>
    <t>Amazon Shipping</t>
  </si>
  <si>
    <t>Amazon shipping amount</t>
  </si>
  <si>
    <t>B1608</t>
  </si>
  <si>
    <t>Concrete Tools Fixture Kit</t>
  </si>
  <si>
    <t>B356</t>
  </si>
  <si>
    <t>HD 102"-108" CONVERSION KIT~</t>
  </si>
  <si>
    <t>BigCommerce Shipping</t>
  </si>
  <si>
    <t>BigCommerce shipping amount</t>
  </si>
  <si>
    <t>Commerce Shipping</t>
  </si>
  <si>
    <t>Commerce shipping amount</t>
  </si>
  <si>
    <t>Defect</t>
  </si>
  <si>
    <t>Defective / Damaged Items</t>
  </si>
  <si>
    <t>Discount</t>
  </si>
  <si>
    <t>53310 ? Promo Discounts</t>
  </si>
  <si>
    <t>eBay Shipping</t>
  </si>
  <si>
    <t>eBay shipping amount</t>
  </si>
  <si>
    <t>FBM Leased Commissions</t>
  </si>
  <si>
    <t>FBM Leased Products</t>
  </si>
  <si>
    <t>Level 5 Product Commissions</t>
  </si>
  <si>
    <t>FBM Leased Product</t>
  </si>
  <si>
    <t>Products leased directly from FBM</t>
  </si>
  <si>
    <t>Products Lease from FBM</t>
  </si>
  <si>
    <t>Freight</t>
  </si>
  <si>
    <t>LTL &amp; Air Freight</t>
  </si>
  <si>
    <t>In-Freight</t>
  </si>
  <si>
    <t>Freight-In</t>
  </si>
  <si>
    <t>Misc  55200</t>
  </si>
  <si>
    <t>Packaging Supplies</t>
  </si>
  <si>
    <t>PALLET CHARGE</t>
  </si>
  <si>
    <t>Parcel Shipment</t>
  </si>
  <si>
    <t>Parcel Shipping</t>
  </si>
  <si>
    <t>Shipping</t>
  </si>
  <si>
    <t>SN-2</t>
  </si>
  <si>
    <t>Stainless Steel Shim Coils</t>
  </si>
  <si>
    <t>Sync for QuickBooks Item</t>
  </si>
  <si>
    <t>THD Special Order Shipping Fee</t>
  </si>
  <si>
    <t>Tooling</t>
  </si>
  <si>
    <t>Tooling for Tools</t>
  </si>
  <si>
    <t>Tools &amp; Supplies</t>
  </si>
  <si>
    <t>Tracking Number</t>
  </si>
  <si>
    <t>Shipment</t>
  </si>
  <si>
    <t>Trade Shows</t>
  </si>
  <si>
    <t>5-950</t>
  </si>
  <si>
    <t>Tile Grout Saw w/ 2 Blades; Composite Hndl</t>
  </si>
  <si>
    <t>Tile Hand Tools</t>
  </si>
  <si>
    <t>Grout Saws</t>
  </si>
  <si>
    <t>5-901</t>
  </si>
  <si>
    <t>1/4 x 3/8 Square Notch SS Trowel; Composite Hndl</t>
  </si>
  <si>
    <t>Notch Trowels</t>
  </si>
  <si>
    <t>5-912</t>
  </si>
  <si>
    <t>3/16 x 5-32 V-Notch SS Trowel; Composite Hndl</t>
  </si>
  <si>
    <t>4-680</t>
  </si>
  <si>
    <t>Full Taping Set w/ 2 CF + MiniShot</t>
  </si>
  <si>
    <t>DXTT-3-430</t>
  </si>
  <si>
    <t>3-430</t>
  </si>
  <si>
    <t>DEWALT 16" Skim Blade w/L Ext Hndl+Adpt</t>
  </si>
  <si>
    <t>9-106</t>
  </si>
  <si>
    <t>Brochure - L5 Skimming Blade V1</t>
  </si>
  <si>
    <t>9-105</t>
  </si>
  <si>
    <t>Brochure - L5 ATT V2</t>
  </si>
  <si>
    <t>9-104</t>
  </si>
  <si>
    <t>Brochure - L5 Hand Tools V2</t>
  </si>
  <si>
    <t>4-735CASE-B</t>
  </si>
  <si>
    <t>4" Corner Finisher Case w/Foam Insert (No Tool)</t>
  </si>
  <si>
    <t>4-772CASE-G</t>
  </si>
  <si>
    <t>MiniShot Case w/Foam Insert (No Tool)</t>
  </si>
  <si>
    <t>5-311CASE-H</t>
  </si>
  <si>
    <t>Banjo Case w/Foam Insert (No Tool)</t>
  </si>
  <si>
    <t>Husky 2" SS Joint Knife w/Soft Grip Handle</t>
  </si>
  <si>
    <t>Husky 3" SS Joint Knife w/Soft Grip Handle</t>
  </si>
  <si>
    <t>DXTT-2-414</t>
  </si>
  <si>
    <t>2-414</t>
  </si>
  <si>
    <t>DW 8" SS Taping Knife w/Welded Hndl</t>
  </si>
  <si>
    <t>DXTT-2-416</t>
  </si>
  <si>
    <t>2-416</t>
  </si>
  <si>
    <t>DW 10" SS Taping Knife w/Welded Hndl</t>
  </si>
  <si>
    <t>DXTT-2-417</t>
  </si>
  <si>
    <t>2-417</t>
  </si>
  <si>
    <t>DW 12" SS Taping Knife w/Welded Hndl</t>
  </si>
  <si>
    <t>DXTT-2-418</t>
  </si>
  <si>
    <t>2-418</t>
  </si>
  <si>
    <t>DW 14" SS Taping Knife w/Welded Hndl</t>
  </si>
  <si>
    <t>7001</t>
  </si>
  <si>
    <t>7002</t>
  </si>
  <si>
    <t>7005</t>
  </si>
  <si>
    <t>7035</t>
  </si>
  <si>
    <t>7040</t>
  </si>
  <si>
    <t>7059</t>
  </si>
  <si>
    <t>7063</t>
  </si>
  <si>
    <t>7069</t>
  </si>
  <si>
    <t>7077</t>
  </si>
  <si>
    <t>7094</t>
  </si>
  <si>
    <t>7097</t>
  </si>
  <si>
    <t>7104</t>
  </si>
  <si>
    <t>7111</t>
  </si>
  <si>
    <t>7116</t>
  </si>
  <si>
    <t>7119</t>
  </si>
  <si>
    <t>7126</t>
  </si>
  <si>
    <t>7132</t>
  </si>
  <si>
    <t>7137</t>
  </si>
  <si>
    <t>7164</t>
  </si>
  <si>
    <t>7322</t>
  </si>
  <si>
    <t>7332</t>
  </si>
  <si>
    <t>7650</t>
  </si>
  <si>
    <t>7654</t>
  </si>
  <si>
    <t>7656</t>
  </si>
  <si>
    <t>8164</t>
  </si>
  <si>
    <t>9007</t>
  </si>
  <si>
    <t>9027</t>
  </si>
  <si>
    <t>9066</t>
  </si>
  <si>
    <t>9108</t>
  </si>
  <si>
    <t>7323</t>
  </si>
  <si>
    <t>7324</t>
  </si>
  <si>
    <t>7326</t>
  </si>
  <si>
    <t>7328</t>
  </si>
  <si>
    <t>7329</t>
  </si>
  <si>
    <t>7350</t>
  </si>
  <si>
    <t>7352</t>
  </si>
  <si>
    <t>7353</t>
  </si>
  <si>
    <t>7355</t>
  </si>
  <si>
    <t>7356</t>
  </si>
  <si>
    <t>7358</t>
  </si>
  <si>
    <t>7362</t>
  </si>
  <si>
    <t>7621</t>
  </si>
  <si>
    <t>7622</t>
  </si>
  <si>
    <t>7633</t>
  </si>
  <si>
    <t>9330</t>
  </si>
  <si>
    <t>9348</t>
  </si>
  <si>
    <t>9623</t>
  </si>
  <si>
    <t>9624</t>
  </si>
  <si>
    <t>7207</t>
  </si>
  <si>
    <t>7208</t>
  </si>
  <si>
    <t>7212</t>
  </si>
  <si>
    <t>7216</t>
  </si>
  <si>
    <t>7224</t>
  </si>
  <si>
    <t>7239</t>
  </si>
  <si>
    <t>7254</t>
  </si>
  <si>
    <t>7268</t>
  </si>
  <si>
    <t>7270</t>
  </si>
  <si>
    <t>7273</t>
  </si>
  <si>
    <t>7274</t>
  </si>
  <si>
    <t>7275</t>
  </si>
  <si>
    <t>7284</t>
  </si>
  <si>
    <t>8270</t>
  </si>
  <si>
    <t>8271</t>
  </si>
  <si>
    <t>8272</t>
  </si>
  <si>
    <t>8274</t>
  </si>
  <si>
    <t>8301</t>
  </si>
  <si>
    <t>9685</t>
  </si>
  <si>
    <t>9719</t>
  </si>
  <si>
    <t>7740</t>
  </si>
  <si>
    <t>7741</t>
  </si>
  <si>
    <t>9188</t>
  </si>
  <si>
    <t>9189</t>
  </si>
  <si>
    <t>9191</t>
  </si>
  <si>
    <t>9192</t>
  </si>
  <si>
    <t>9195</t>
  </si>
  <si>
    <t>9196</t>
  </si>
  <si>
    <t>9197</t>
  </si>
  <si>
    <t>9512</t>
  </si>
  <si>
    <t>9525</t>
  </si>
  <si>
    <t>9706</t>
  </si>
  <si>
    <t>9815</t>
  </si>
  <si>
    <t>9816</t>
  </si>
  <si>
    <t>7378</t>
  </si>
  <si>
    <t>7409</t>
  </si>
  <si>
    <t>7792</t>
  </si>
  <si>
    <t>9312</t>
  </si>
  <si>
    <t>9313</t>
  </si>
  <si>
    <t>9314</t>
  </si>
  <si>
    <t>9317</t>
  </si>
  <si>
    <t>8405</t>
  </si>
  <si>
    <t>8515</t>
  </si>
  <si>
    <t>8516</t>
  </si>
  <si>
    <t>8519</t>
  </si>
  <si>
    <t>8700</t>
  </si>
  <si>
    <t>9212</t>
  </si>
  <si>
    <t>9903</t>
  </si>
  <si>
    <t>7379</t>
  </si>
  <si>
    <t>7290</t>
  </si>
  <si>
    <t>7454</t>
  </si>
  <si>
    <t>7727</t>
  </si>
  <si>
    <t>7734</t>
  </si>
  <si>
    <t>DeWalt Totals:</t>
  </si>
  <si>
    <t xml:space="preserve">DEWALT 37"-63"Skimming Blade Ext Hndl </t>
  </si>
  <si>
    <t>DEWALT 16"SS Fit UltraFlex Trowel .3x100mm</t>
  </si>
  <si>
    <t>DEWALT 14"SS Fit UltraFlex Trowel .3x100mm</t>
  </si>
  <si>
    <t>DEWALT 16"SS Flat Flex Trowel .4 x 120mm</t>
  </si>
  <si>
    <t>DEWALT 14"SS Flat Flex Trowel .4 x 120mm</t>
  </si>
  <si>
    <t>DEWALT 12"SS Flat Flex Trowel .4 x 120mm</t>
  </si>
  <si>
    <t xml:space="preserve">DEWALT 12"SS Curved Trowel .7mm </t>
  </si>
  <si>
    <t>DEWALT 16"SS Flat Flex Trowel .4 x 100mm</t>
  </si>
  <si>
    <t>DEWALT 14"SS Flat Flex Trowel .4 x 100mm</t>
  </si>
  <si>
    <t>DEWALT 12"SS Flat Flex Trowel .4 x 100mm</t>
  </si>
  <si>
    <t xml:space="preserve">DEWALT 16"SS Mud Pan </t>
  </si>
  <si>
    <t xml:space="preserve">DEWALT 14"SS Mud Pan </t>
  </si>
  <si>
    <t xml:space="preserve">DEWALT 12"SS Mud Pan </t>
  </si>
  <si>
    <t xml:space="preserve">DEWALT Mixer 7" Head 32" Shaft </t>
  </si>
  <si>
    <t>DEWALT 4PC SS Taping Knife Set w/14"Pan</t>
  </si>
  <si>
    <t xml:space="preserve">DEWALT 4" Corner Finisher </t>
  </si>
  <si>
    <t xml:space="preserve">DEWALT 3.5" Corner Finisher </t>
  </si>
  <si>
    <t>DEWALT Pro Texture Sprayer with Hopper</t>
  </si>
  <si>
    <t>Composite Skimming Blade End Caps</t>
  </si>
  <si>
    <t>Brochure-L5 Skimming Blades</t>
  </si>
  <si>
    <t>Master Case Qty</t>
  </si>
  <si>
    <t>ALL MERCH &amp; MKTG SALES ARE FINAL</t>
  </si>
  <si>
    <t>Finishing Set with Standard Handles</t>
  </si>
  <si>
    <t>Ultimate Pro Taping and Finishing Set W/ Bonus Items</t>
  </si>
  <si>
    <t>10", 24", 32" Skimming Blades Set</t>
  </si>
  <si>
    <t>Sku #</t>
  </si>
  <si>
    <t>DW 8" SS TAPING KNIFE - W/WELDED HNDL</t>
  </si>
  <si>
    <t>DW 10" SS TAPING KNIFE - W/WELDED HNDL</t>
  </si>
  <si>
    <t>DW 12" SS TAPING KNIFE - W/WELDED HNDL</t>
  </si>
  <si>
    <t>DW 14" SS TAPING KNIFE - W/WELDED HNDL</t>
  </si>
  <si>
    <t>DEWALT 4" Trim Puller - 4-In-1 Multi Tool</t>
  </si>
  <si>
    <t>Banjo Case W/Foam Insert (NO TOOL)</t>
  </si>
  <si>
    <t>Catalogs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</si>
</sst>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Fill="1" applyBorder="1"/>
    <xf numFmtId="44" fontId="0" fillId="0" borderId="1" xfId="0" applyNumberForma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2" fillId="2" borderId="6" xfId="0" applyFont="1" applyFill="1" applyBorder="1" applyAlignment="1">
      <alignment horizontal="right"/>
    </xf>
    <xf numFmtId="44" fontId="0" fillId="2" borderId="3" xfId="0" applyNumberFormat="1" applyFill="1" applyBorder="1"/>
    <xf numFmtId="0" fontId="0" fillId="0" borderId="7" xfId="0" applyBorder="1"/>
    <xf numFmtId="0" fontId="3" fillId="2" borderId="9" xfId="0" applyFont="1" applyFill="1" applyBorder="1" applyAlignment="1">
      <alignment horizontal="center"/>
    </xf>
    <xf numFmtId="0" fontId="4" fillId="0" borderId="0" xfId="0" applyFont="1"/>
    <xf numFmtId="44" fontId="4" fillId="0" borderId="0" xfId="1" applyFont="1" applyFill="1" applyBorder="1"/>
    <xf numFmtId="0" fontId="4" fillId="0" borderId="0" xfId="0" applyFont="1" applyAlignment="1">
      <alignment horizontal="center"/>
    </xf>
    <xf numFmtId="44" fontId="0" fillId="0" borderId="0" xfId="0" applyNumberFormat="1"/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0" xfId="0" applyBorder="1"/>
    <xf numFmtId="0" fontId="2" fillId="0" borderId="0" xfId="0" applyFont="1" applyAlignment="1">
      <alignment horizontal="right"/>
    </xf>
    <xf numFmtId="44" fontId="0" fillId="0" borderId="1" xfId="1" applyFont="1" applyBorder="1"/>
    <xf numFmtId="0" fontId="0" fillId="2" borderId="0" xfId="0" applyFill="1"/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2" fillId="2" borderId="7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49" fontId="2" fillId="2" borderId="7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49" fontId="2" fillId="2" borderId="8" xfId="0" applyNumberFormat="1" applyFont="1" applyFill="1" applyBorder="1" applyAlignment="1">
      <alignment horizontal="right"/>
    </xf>
    <xf numFmtId="0" fontId="2" fillId="2" borderId="7" xfId="0" applyFont="1" applyFill="1" applyBorder="1" applyProtection="1">
      <protection locked="0"/>
    </xf>
    <xf numFmtId="49" fontId="2" fillId="2" borderId="7" xfId="0" applyNumberFormat="1" applyFont="1" applyFill="1" applyBorder="1" applyAlignment="1" applyProtection="1">
      <alignment horizontal="right"/>
      <protection locked="0"/>
    </xf>
    <xf numFmtId="49" fontId="2" fillId="2" borderId="0" xfId="0" applyNumberFormat="1" applyFont="1" applyFill="1" applyAlignment="1" applyProtection="1">
      <alignment horizontal="right"/>
      <protection locked="0"/>
    </xf>
    <xf numFmtId="0" fontId="2" fillId="2" borderId="0" xfId="0" applyFont="1" applyFill="1" applyProtection="1">
      <protection locked="0"/>
    </xf>
    <xf numFmtId="14" fontId="2" fillId="2" borderId="7" xfId="0" applyNumberFormat="1" applyFont="1" applyFill="1" applyBorder="1" applyAlignment="1" applyProtection="1">
      <alignment horizontal="right"/>
      <protection locked="0"/>
    </xf>
    <xf numFmtId="0" fontId="2" fillId="2" borderId="8" xfId="0" applyFont="1" applyFill="1" applyBorder="1" applyProtection="1">
      <protection locked="0"/>
    </xf>
    <xf numFmtId="49" fontId="2" fillId="2" borderId="8" xfId="0" applyNumberFormat="1" applyFont="1" applyFill="1" applyBorder="1" applyAlignment="1" applyProtection="1">
      <alignment horizontal="right"/>
      <protection locked="0"/>
    </xf>
    <xf numFmtId="0" fontId="2" fillId="2" borderId="7" xfId="0" applyFont="1" applyFill="1" applyBorder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3" fontId="0" fillId="0" borderId="1" xfId="0" applyNumberFormat="1" applyBorder="1" applyProtection="1">
      <protection locked="0"/>
    </xf>
    <xf numFmtId="3" fontId="0" fillId="0" borderId="2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7" fillId="0" borderId="0" xfId="0" applyFont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Protection="1">
      <protection locked="0"/>
    </xf>
    <xf numFmtId="44" fontId="8" fillId="0" borderId="1" xfId="1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4" fillId="0" borderId="1" xfId="0" applyFont="1" applyBorder="1" applyAlignment="1" applyProtection="1">
      <alignment horizontal="center"/>
      <protection locked="0"/>
    </xf>
    <xf numFmtId="0" fontId="0" fillId="2" borderId="6" xfId="0" applyFill="1" applyBorder="1"/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Protection="1">
      <protection locked="0"/>
    </xf>
    <xf numFmtId="0" fontId="2" fillId="2" borderId="0" xfId="0" applyFont="1" applyFill="1" applyAlignment="1">
      <alignment horizontal="right" vertical="center"/>
    </xf>
    <xf numFmtId="14" fontId="2" fillId="2" borderId="0" xfId="0" applyNumberFormat="1" applyFont="1" applyFill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8" fillId="0" borderId="0" xfId="0" applyFont="1"/>
    <xf numFmtId="0" fontId="10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8" fillId="4" borderId="1" xfId="0" applyFont="1" applyFill="1" applyBorder="1"/>
    <xf numFmtId="44" fontId="8" fillId="4" borderId="1" xfId="1" applyFont="1" applyFill="1" applyBorder="1" applyAlignment="1">
      <alignment horizontal="right"/>
    </xf>
    <xf numFmtId="44" fontId="4" fillId="4" borderId="1" xfId="1" applyFont="1" applyFill="1" applyBorder="1"/>
    <xf numFmtId="0" fontId="8" fillId="4" borderId="1" xfId="0" applyFont="1" applyFill="1" applyBorder="1" applyAlignment="1">
      <alignment horizontal="center"/>
    </xf>
    <xf numFmtId="3" fontId="8" fillId="4" borderId="1" xfId="0" applyNumberFormat="1" applyFont="1" applyFill="1" applyBorder="1" applyProtection="1">
      <protection locked="0"/>
    </xf>
    <xf numFmtId="44" fontId="8" fillId="4" borderId="1" xfId="1" applyFont="1" applyFill="1" applyBorder="1"/>
    <xf numFmtId="0" fontId="8" fillId="4" borderId="2" xfId="0" applyFont="1" applyFill="1" applyBorder="1" applyAlignment="1">
      <alignment horizontal="center"/>
    </xf>
    <xf numFmtId="0" fontId="4" fillId="5" borderId="1" xfId="0" applyFont="1" applyFill="1" applyBorder="1"/>
    <xf numFmtId="44" fontId="4" fillId="5" borderId="1" xfId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49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/>
    <xf numFmtId="49" fontId="8" fillId="0" borderId="1" xfId="0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2" fillId="3" borderId="1" xfId="2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4" fillId="5" borderId="2" xfId="0" applyFont="1" applyFill="1" applyBorder="1"/>
    <xf numFmtId="0" fontId="11" fillId="0" borderId="13" xfId="0" applyFont="1" applyBorder="1"/>
    <xf numFmtId="44" fontId="0" fillId="0" borderId="2" xfId="0" applyNumberFormat="1" applyBorder="1"/>
    <xf numFmtId="0" fontId="2" fillId="2" borderId="8" xfId="0" applyFont="1" applyFill="1" applyBorder="1" applyAlignment="1">
      <alignment horizontal="right"/>
    </xf>
    <xf numFmtId="14" fontId="2" fillId="2" borderId="7" xfId="0" applyNumberFormat="1" applyFont="1" applyFill="1" applyBorder="1" applyAlignment="1">
      <alignment horizontal="right"/>
    </xf>
    <xf numFmtId="14" fontId="2" fillId="2" borderId="8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0" fillId="2" borderId="7" xfId="0" applyFill="1" applyBorder="1"/>
    <xf numFmtId="0" fontId="5" fillId="0" borderId="12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49" fontId="2" fillId="2" borderId="8" xfId="0" applyNumberFormat="1" applyFont="1" applyFill="1" applyBorder="1" applyAlignment="1">
      <alignment horizontal="right"/>
    </xf>
    <xf numFmtId="0" fontId="15" fillId="4" borderId="14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49" fontId="2" fillId="2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14" fontId="2" fillId="2" borderId="7" xfId="0" applyNumberFormat="1" applyFont="1" applyFill="1" applyBorder="1" applyAlignment="1">
      <alignment horizontal="right"/>
    </xf>
    <xf numFmtId="14" fontId="2" fillId="2" borderId="8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</cellXfs>
  <cellStyles count="5">
    <cellStyle name="Comma" xfId="2" builtinId="3"/>
    <cellStyle name="Comma 2" xfId="3" xr:uid="{8F1852EE-90F2-418F-91C1-BCAAD02AB203}"/>
    <cellStyle name="Currency" xfId="1" builtinId="4"/>
    <cellStyle name="Normal" xfId="0" builtinId="0"/>
    <cellStyle name="Percent" xfId="4" builtinId="5"/>
  </cellStyles>
  <dxfs count="3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57150</xdr:rowOff>
    </xdr:from>
    <xdr:to>
      <xdr:col>1</xdr:col>
      <xdr:colOff>673100</xdr:colOff>
      <xdr:row>9</xdr:row>
      <xdr:rowOff>65532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D42D8-04A2-4CBD-BB8F-3089669BB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050"/>
          <a:ext cx="1473200" cy="560832"/>
        </a:xfrm>
        <a:prstGeom prst="rect">
          <a:avLst/>
        </a:prstGeom>
      </xdr:spPr>
    </xdr:pic>
    <xdr:clientData/>
  </xdr:twoCellAnchor>
  <xdr:twoCellAnchor editAs="oneCell">
    <xdr:from>
      <xdr:col>1</xdr:col>
      <xdr:colOff>704849</xdr:colOff>
      <xdr:row>6</xdr:row>
      <xdr:rowOff>38100</xdr:rowOff>
    </xdr:from>
    <xdr:to>
      <xdr:col>2</xdr:col>
      <xdr:colOff>390524</xdr:colOff>
      <xdr:row>9</xdr:row>
      <xdr:rowOff>63897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9DAD99-AF44-486C-B29F-B0E27180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49" y="1181100"/>
          <a:ext cx="1666875" cy="597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38101</xdr:rowOff>
    </xdr:from>
    <xdr:to>
      <xdr:col>1</xdr:col>
      <xdr:colOff>563567</xdr:colOff>
      <xdr:row>8</xdr:row>
      <xdr:rowOff>159385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21BE0A-5469-4D99-848F-81CA60667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8776"/>
          <a:ext cx="1241112" cy="485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28575</xdr:rowOff>
    </xdr:from>
    <xdr:to>
      <xdr:col>1</xdr:col>
      <xdr:colOff>461010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CBD741-C432-48CB-8107-E8985E1CD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60750"/>
          <a:ext cx="11430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589F-2BAB-48D5-B493-AF2F63B742BD}">
  <sheetPr filterMode="1"/>
  <dimension ref="A1:F2330"/>
  <sheetViews>
    <sheetView workbookViewId="0"/>
  </sheetViews>
  <sheetFormatPr defaultRowHeight="15" x14ac:dyDescent="0.25"/>
  <cols>
    <col min="1" max="2" width="20.42578125" style="89" customWidth="1"/>
    <col min="3" max="3" width="10" bestFit="1" customWidth="1"/>
    <col min="4" max="4" width="72.28515625" bestFit="1" customWidth="1"/>
    <col min="5" max="5" width="22.85546875" bestFit="1" customWidth="1"/>
    <col min="6" max="6" width="23" bestFit="1" customWidth="1"/>
  </cols>
  <sheetData>
    <row r="1" spans="1:6" x14ac:dyDescent="0.25">
      <c r="A1" s="87" t="s">
        <v>1721</v>
      </c>
      <c r="B1" s="87" t="s">
        <v>1722</v>
      </c>
      <c r="C1" s="83" t="s">
        <v>918</v>
      </c>
      <c r="D1" s="83" t="s">
        <v>1723</v>
      </c>
      <c r="E1" s="83" t="s">
        <v>919</v>
      </c>
      <c r="F1" s="83" t="s">
        <v>920</v>
      </c>
    </row>
    <row r="2" spans="1:6" hidden="1" x14ac:dyDescent="0.25">
      <c r="A2" s="85" t="s">
        <v>894</v>
      </c>
      <c r="B2" s="85" t="s">
        <v>1724</v>
      </c>
      <c r="C2" s="84" t="s">
        <v>922</v>
      </c>
      <c r="D2" s="84" t="s">
        <v>921</v>
      </c>
      <c r="E2" s="84" t="s">
        <v>923</v>
      </c>
      <c r="F2" s="84" t="s">
        <v>924</v>
      </c>
    </row>
    <row r="3" spans="1:6" hidden="1" x14ac:dyDescent="0.25">
      <c r="A3" s="85" t="s">
        <v>1725</v>
      </c>
      <c r="B3" s="85" t="s">
        <v>1726</v>
      </c>
      <c r="C3" s="84" t="s">
        <v>922</v>
      </c>
      <c r="D3" s="84" t="s">
        <v>1727</v>
      </c>
      <c r="E3" s="84" t="s">
        <v>923</v>
      </c>
      <c r="F3" s="84" t="s">
        <v>924</v>
      </c>
    </row>
    <row r="4" spans="1:6" hidden="1" x14ac:dyDescent="0.25">
      <c r="A4" s="85" t="s">
        <v>1728</v>
      </c>
      <c r="B4" s="85" t="s">
        <v>1728</v>
      </c>
      <c r="C4" s="84" t="s">
        <v>958</v>
      </c>
      <c r="D4" s="84" t="s">
        <v>1729</v>
      </c>
      <c r="E4" s="84" t="s">
        <v>923</v>
      </c>
      <c r="F4" s="84" t="s">
        <v>924</v>
      </c>
    </row>
    <row r="5" spans="1:6" hidden="1" x14ac:dyDescent="0.25">
      <c r="A5" s="85" t="s">
        <v>1730</v>
      </c>
      <c r="B5" s="85" t="s">
        <v>1730</v>
      </c>
      <c r="C5" s="84" t="s">
        <v>958</v>
      </c>
      <c r="D5" s="84" t="s">
        <v>1731</v>
      </c>
      <c r="E5" s="84" t="s">
        <v>923</v>
      </c>
      <c r="F5" s="84" t="s">
        <v>924</v>
      </c>
    </row>
    <row r="6" spans="1:6" hidden="1" x14ac:dyDescent="0.25">
      <c r="A6" s="85" t="s">
        <v>1732</v>
      </c>
      <c r="B6" s="85" t="s">
        <v>1732</v>
      </c>
      <c r="C6" s="84" t="s">
        <v>958</v>
      </c>
      <c r="D6" s="84" t="s">
        <v>1733</v>
      </c>
      <c r="E6" s="84" t="s">
        <v>923</v>
      </c>
      <c r="F6" s="84" t="s">
        <v>924</v>
      </c>
    </row>
    <row r="7" spans="1:6" hidden="1" x14ac:dyDescent="0.25">
      <c r="A7" s="85" t="s">
        <v>1734</v>
      </c>
      <c r="B7" s="85" t="s">
        <v>1734</v>
      </c>
      <c r="C7" s="84" t="s">
        <v>958</v>
      </c>
      <c r="D7" s="84" t="s">
        <v>1735</v>
      </c>
      <c r="E7" s="84" t="s">
        <v>923</v>
      </c>
      <c r="F7" s="84" t="s">
        <v>924</v>
      </c>
    </row>
    <row r="8" spans="1:6" hidden="1" x14ac:dyDescent="0.25">
      <c r="A8" s="85" t="s">
        <v>1736</v>
      </c>
      <c r="B8" s="85" t="s">
        <v>1736</v>
      </c>
      <c r="C8" s="84" t="s">
        <v>958</v>
      </c>
      <c r="D8" s="84" t="s">
        <v>1737</v>
      </c>
      <c r="E8" s="84" t="s">
        <v>923</v>
      </c>
      <c r="F8" s="84" t="s">
        <v>924</v>
      </c>
    </row>
    <row r="9" spans="1:6" hidden="1" x14ac:dyDescent="0.25">
      <c r="A9" s="85" t="s">
        <v>1738</v>
      </c>
      <c r="B9" s="85" t="s">
        <v>1739</v>
      </c>
      <c r="C9" s="84" t="s">
        <v>922</v>
      </c>
      <c r="D9" s="84" t="s">
        <v>1740</v>
      </c>
      <c r="E9" s="84" t="s">
        <v>923</v>
      </c>
      <c r="F9" s="84" t="s">
        <v>926</v>
      </c>
    </row>
    <row r="10" spans="1:6" hidden="1" x14ac:dyDescent="0.25">
      <c r="A10" s="85" t="s">
        <v>898</v>
      </c>
      <c r="B10" s="85" t="s">
        <v>1741</v>
      </c>
      <c r="C10" s="84" t="s">
        <v>922</v>
      </c>
      <c r="D10" s="84" t="s">
        <v>925</v>
      </c>
      <c r="E10" s="84" t="s">
        <v>923</v>
      </c>
      <c r="F10" s="84" t="s">
        <v>926</v>
      </c>
    </row>
    <row r="11" spans="1:6" hidden="1" x14ac:dyDescent="0.25">
      <c r="A11" s="85" t="s">
        <v>1742</v>
      </c>
      <c r="B11" s="85" t="s">
        <v>1742</v>
      </c>
      <c r="C11" s="84" t="s">
        <v>958</v>
      </c>
      <c r="D11" s="84" t="s">
        <v>1743</v>
      </c>
      <c r="E11" s="84" t="s">
        <v>923</v>
      </c>
      <c r="F11" s="84" t="s">
        <v>926</v>
      </c>
    </row>
    <row r="12" spans="1:6" hidden="1" x14ac:dyDescent="0.25">
      <c r="A12" s="85" t="s">
        <v>1744</v>
      </c>
      <c r="B12" s="85" t="s">
        <v>1744</v>
      </c>
      <c r="C12" s="84" t="s">
        <v>958</v>
      </c>
      <c r="D12" s="84" t="s">
        <v>1745</v>
      </c>
      <c r="E12" s="84" t="s">
        <v>923</v>
      </c>
      <c r="F12" s="84" t="s">
        <v>926</v>
      </c>
    </row>
    <row r="13" spans="1:6" hidden="1" x14ac:dyDescent="0.25">
      <c r="A13" s="85" t="s">
        <v>876</v>
      </c>
      <c r="B13" s="85" t="s">
        <v>1746</v>
      </c>
      <c r="C13" s="84" t="s">
        <v>922</v>
      </c>
      <c r="D13" s="84" t="s">
        <v>927</v>
      </c>
      <c r="E13" s="84" t="s">
        <v>923</v>
      </c>
      <c r="F13" s="84" t="s">
        <v>928</v>
      </c>
    </row>
    <row r="14" spans="1:6" hidden="1" x14ac:dyDescent="0.25">
      <c r="A14" s="85" t="s">
        <v>878</v>
      </c>
      <c r="B14" s="85" t="s">
        <v>1747</v>
      </c>
      <c r="C14" s="84" t="s">
        <v>922</v>
      </c>
      <c r="D14" s="84" t="s">
        <v>929</v>
      </c>
      <c r="E14" s="84" t="s">
        <v>923</v>
      </c>
      <c r="F14" s="84" t="s">
        <v>928</v>
      </c>
    </row>
    <row r="15" spans="1:6" hidden="1" x14ac:dyDescent="0.25">
      <c r="A15" s="85" t="s">
        <v>880</v>
      </c>
      <c r="B15" s="85" t="s">
        <v>1748</v>
      </c>
      <c r="C15" s="84" t="s">
        <v>922</v>
      </c>
      <c r="D15" s="84" t="s">
        <v>930</v>
      </c>
      <c r="E15" s="84" t="s">
        <v>923</v>
      </c>
      <c r="F15" s="84" t="s">
        <v>928</v>
      </c>
    </row>
    <row r="16" spans="1:6" hidden="1" x14ac:dyDescent="0.25">
      <c r="A16" s="85" t="s">
        <v>882</v>
      </c>
      <c r="B16" s="85" t="s">
        <v>1749</v>
      </c>
      <c r="C16" s="84" t="s">
        <v>922</v>
      </c>
      <c r="D16" s="84" t="s">
        <v>931</v>
      </c>
      <c r="E16" s="84" t="s">
        <v>923</v>
      </c>
      <c r="F16" s="84" t="s">
        <v>928</v>
      </c>
    </row>
    <row r="17" spans="1:6" hidden="1" x14ac:dyDescent="0.25">
      <c r="A17" s="85" t="s">
        <v>884</v>
      </c>
      <c r="B17" s="85" t="s">
        <v>1750</v>
      </c>
      <c r="C17" s="84" t="s">
        <v>922</v>
      </c>
      <c r="D17" s="84" t="s">
        <v>932</v>
      </c>
      <c r="E17" s="84" t="s">
        <v>923</v>
      </c>
      <c r="F17" s="84" t="s">
        <v>928</v>
      </c>
    </row>
    <row r="18" spans="1:6" hidden="1" x14ac:dyDescent="0.25">
      <c r="A18" s="85" t="s">
        <v>886</v>
      </c>
      <c r="B18" s="85" t="s">
        <v>1751</v>
      </c>
      <c r="C18" s="84" t="s">
        <v>922</v>
      </c>
      <c r="D18" s="84" t="s">
        <v>933</v>
      </c>
      <c r="E18" s="84" t="s">
        <v>923</v>
      </c>
      <c r="F18" s="84" t="s">
        <v>928</v>
      </c>
    </row>
    <row r="19" spans="1:6" hidden="1" x14ac:dyDescent="0.25">
      <c r="A19" s="85" t="s">
        <v>1752</v>
      </c>
      <c r="B19" s="85" t="s">
        <v>1752</v>
      </c>
      <c r="C19" s="84" t="s">
        <v>958</v>
      </c>
      <c r="D19" s="84" t="s">
        <v>1753</v>
      </c>
      <c r="E19" s="84" t="s">
        <v>923</v>
      </c>
      <c r="F19" s="84" t="s">
        <v>928</v>
      </c>
    </row>
    <row r="20" spans="1:6" hidden="1" x14ac:dyDescent="0.25">
      <c r="A20" s="85" t="s">
        <v>1754</v>
      </c>
      <c r="B20" s="85" t="s">
        <v>1754</v>
      </c>
      <c r="C20" s="84" t="s">
        <v>958</v>
      </c>
      <c r="D20" s="84" t="s">
        <v>1755</v>
      </c>
      <c r="E20" s="84" t="s">
        <v>923</v>
      </c>
      <c r="F20" s="84" t="s">
        <v>928</v>
      </c>
    </row>
    <row r="21" spans="1:6" hidden="1" x14ac:dyDescent="0.25">
      <c r="A21" s="85" t="s">
        <v>1756</v>
      </c>
      <c r="B21" s="85" t="s">
        <v>1756</v>
      </c>
      <c r="C21" s="84" t="s">
        <v>958</v>
      </c>
      <c r="D21" s="84" t="s">
        <v>1757</v>
      </c>
      <c r="E21" s="84" t="s">
        <v>923</v>
      </c>
      <c r="F21" s="84" t="s">
        <v>928</v>
      </c>
    </row>
    <row r="22" spans="1:6" hidden="1" x14ac:dyDescent="0.25">
      <c r="A22" s="85" t="s">
        <v>1758</v>
      </c>
      <c r="B22" s="85" t="s">
        <v>1758</v>
      </c>
      <c r="C22" s="84" t="s">
        <v>958</v>
      </c>
      <c r="D22" s="84" t="s">
        <v>1759</v>
      </c>
      <c r="E22" s="84" t="s">
        <v>923</v>
      </c>
      <c r="F22" s="84" t="s">
        <v>928</v>
      </c>
    </row>
    <row r="23" spans="1:6" hidden="1" x14ac:dyDescent="0.25">
      <c r="A23" s="85" t="s">
        <v>1760</v>
      </c>
      <c r="B23" s="85" t="s">
        <v>1760</v>
      </c>
      <c r="C23" s="84" t="s">
        <v>958</v>
      </c>
      <c r="D23" s="84" t="s">
        <v>1761</v>
      </c>
      <c r="E23" s="84" t="s">
        <v>923</v>
      </c>
      <c r="F23" s="84" t="s">
        <v>928</v>
      </c>
    </row>
    <row r="24" spans="1:6" hidden="1" x14ac:dyDescent="0.25">
      <c r="A24" s="85" t="s">
        <v>1762</v>
      </c>
      <c r="B24" s="85" t="s">
        <v>1762</v>
      </c>
      <c r="C24" s="84" t="s">
        <v>958</v>
      </c>
      <c r="D24" s="84" t="s">
        <v>1763</v>
      </c>
      <c r="E24" s="84" t="s">
        <v>923</v>
      </c>
      <c r="F24" s="84" t="s">
        <v>928</v>
      </c>
    </row>
    <row r="25" spans="1:6" hidden="1" x14ac:dyDescent="0.25">
      <c r="A25" s="85" t="s">
        <v>1764</v>
      </c>
      <c r="B25" s="85" t="s">
        <v>1764</v>
      </c>
      <c r="C25" s="84" t="s">
        <v>958</v>
      </c>
      <c r="D25" s="84" t="s">
        <v>1765</v>
      </c>
      <c r="E25" s="84" t="s">
        <v>923</v>
      </c>
      <c r="F25" s="84" t="s">
        <v>928</v>
      </c>
    </row>
    <row r="26" spans="1:6" hidden="1" x14ac:dyDescent="0.25">
      <c r="A26" s="85" t="s">
        <v>1766</v>
      </c>
      <c r="B26" s="85" t="s">
        <v>1766</v>
      </c>
      <c r="C26" s="84" t="s">
        <v>958</v>
      </c>
      <c r="D26" s="84" t="s">
        <v>1767</v>
      </c>
      <c r="E26" s="84" t="s">
        <v>923</v>
      </c>
      <c r="F26" s="84" t="s">
        <v>928</v>
      </c>
    </row>
    <row r="27" spans="1:6" hidden="1" x14ac:dyDescent="0.25">
      <c r="A27" s="85" t="s">
        <v>914</v>
      </c>
      <c r="B27" s="85" t="s">
        <v>1768</v>
      </c>
      <c r="C27" s="84" t="s">
        <v>922</v>
      </c>
      <c r="D27" s="84" t="s">
        <v>934</v>
      </c>
      <c r="E27" s="84" t="s">
        <v>923</v>
      </c>
      <c r="F27" s="84" t="s">
        <v>935</v>
      </c>
    </row>
    <row r="28" spans="1:6" hidden="1" x14ac:dyDescent="0.25">
      <c r="A28" s="85" t="s">
        <v>1769</v>
      </c>
      <c r="B28" s="85" t="s">
        <v>1769</v>
      </c>
      <c r="C28" s="84" t="s">
        <v>958</v>
      </c>
      <c r="D28" s="84" t="s">
        <v>1770</v>
      </c>
      <c r="E28" s="84" t="s">
        <v>923</v>
      </c>
      <c r="F28" s="84" t="s">
        <v>935</v>
      </c>
    </row>
    <row r="29" spans="1:6" hidden="1" x14ac:dyDescent="0.25">
      <c r="A29" s="85" t="s">
        <v>896</v>
      </c>
      <c r="B29" s="85" t="s">
        <v>1771</v>
      </c>
      <c r="C29" s="84" t="s">
        <v>922</v>
      </c>
      <c r="D29" s="84" t="s">
        <v>936</v>
      </c>
      <c r="E29" s="84" t="s">
        <v>923</v>
      </c>
      <c r="F29" s="84" t="s">
        <v>937</v>
      </c>
    </row>
    <row r="30" spans="1:6" hidden="1" x14ac:dyDescent="0.25">
      <c r="A30" s="85" t="s">
        <v>1772</v>
      </c>
      <c r="B30" s="85" t="s">
        <v>1772</v>
      </c>
      <c r="C30" s="84" t="s">
        <v>958</v>
      </c>
      <c r="D30" s="84" t="s">
        <v>1773</v>
      </c>
      <c r="E30" s="84" t="s">
        <v>923</v>
      </c>
      <c r="F30" s="84" t="s">
        <v>937</v>
      </c>
    </row>
    <row r="31" spans="1:6" hidden="1" x14ac:dyDescent="0.25">
      <c r="A31" s="85" t="s">
        <v>1774</v>
      </c>
      <c r="B31" s="85" t="s">
        <v>1774</v>
      </c>
      <c r="C31" s="84" t="s">
        <v>958</v>
      </c>
      <c r="D31" s="84" t="s">
        <v>1775</v>
      </c>
      <c r="E31" s="84" t="s">
        <v>923</v>
      </c>
      <c r="F31" s="84" t="s">
        <v>937</v>
      </c>
    </row>
    <row r="32" spans="1:6" x14ac:dyDescent="0.25">
      <c r="A32" s="85" t="s">
        <v>1776</v>
      </c>
      <c r="B32" s="85" t="s">
        <v>1776</v>
      </c>
      <c r="C32" s="84" t="s">
        <v>958</v>
      </c>
      <c r="D32" s="84" t="s">
        <v>1777</v>
      </c>
      <c r="E32" s="84" t="s">
        <v>923</v>
      </c>
      <c r="F32" s="84" t="s">
        <v>1402</v>
      </c>
    </row>
    <row r="33" spans="1:6" x14ac:dyDescent="0.25">
      <c r="A33" s="85" t="s">
        <v>1778</v>
      </c>
      <c r="B33" s="85" t="s">
        <v>1778</v>
      </c>
      <c r="C33" s="84" t="s">
        <v>958</v>
      </c>
      <c r="D33" s="84" t="s">
        <v>1779</v>
      </c>
      <c r="E33" s="84" t="s">
        <v>923</v>
      </c>
      <c r="F33" s="84" t="s">
        <v>1402</v>
      </c>
    </row>
    <row r="34" spans="1:6" x14ac:dyDescent="0.25">
      <c r="A34" s="85" t="s">
        <v>1780</v>
      </c>
      <c r="B34" s="85" t="s">
        <v>1780</v>
      </c>
      <c r="C34" s="84" t="s">
        <v>958</v>
      </c>
      <c r="D34" s="84" t="s">
        <v>1781</v>
      </c>
      <c r="E34" s="84" t="s">
        <v>923</v>
      </c>
      <c r="F34" s="84" t="s">
        <v>1402</v>
      </c>
    </row>
    <row r="35" spans="1:6" x14ac:dyDescent="0.25">
      <c r="A35" s="85" t="s">
        <v>1782</v>
      </c>
      <c r="B35" s="85" t="s">
        <v>1782</v>
      </c>
      <c r="C35" s="84" t="s">
        <v>958</v>
      </c>
      <c r="D35" s="84" t="s">
        <v>1783</v>
      </c>
      <c r="E35" s="84" t="s">
        <v>923</v>
      </c>
      <c r="F35" s="84" t="s">
        <v>1402</v>
      </c>
    </row>
    <row r="36" spans="1:6" x14ac:dyDescent="0.25">
      <c r="A36" s="85" t="s">
        <v>1784</v>
      </c>
      <c r="B36" s="85" t="s">
        <v>1784</v>
      </c>
      <c r="C36" s="84" t="s">
        <v>958</v>
      </c>
      <c r="D36" s="84" t="s">
        <v>1785</v>
      </c>
      <c r="E36" s="84" t="s">
        <v>923</v>
      </c>
      <c r="F36" s="84" t="s">
        <v>1402</v>
      </c>
    </row>
    <row r="37" spans="1:6" x14ac:dyDescent="0.25">
      <c r="A37" s="85" t="s">
        <v>1786</v>
      </c>
      <c r="B37" s="85" t="s">
        <v>1786</v>
      </c>
      <c r="C37" s="84" t="s">
        <v>958</v>
      </c>
      <c r="D37" s="84" t="s">
        <v>1787</v>
      </c>
      <c r="E37" s="84" t="s">
        <v>923</v>
      </c>
      <c r="F37" s="84" t="s">
        <v>1402</v>
      </c>
    </row>
    <row r="38" spans="1:6" x14ac:dyDescent="0.25">
      <c r="A38" s="85" t="s">
        <v>1788</v>
      </c>
      <c r="B38" s="85" t="s">
        <v>1788</v>
      </c>
      <c r="C38" s="84" t="s">
        <v>958</v>
      </c>
      <c r="D38" s="84" t="s">
        <v>1789</v>
      </c>
      <c r="E38" s="84" t="s">
        <v>923</v>
      </c>
      <c r="F38" s="84" t="s">
        <v>1402</v>
      </c>
    </row>
    <row r="39" spans="1:6" hidden="1" x14ac:dyDescent="0.25">
      <c r="A39" s="85" t="s">
        <v>900</v>
      </c>
      <c r="B39" s="85" t="s">
        <v>1790</v>
      </c>
      <c r="C39" s="84" t="s">
        <v>922</v>
      </c>
      <c r="D39" s="84" t="s">
        <v>938</v>
      </c>
      <c r="E39" s="84" t="s">
        <v>923</v>
      </c>
      <c r="F39" s="84" t="s">
        <v>939</v>
      </c>
    </row>
    <row r="40" spans="1:6" hidden="1" x14ac:dyDescent="0.25">
      <c r="A40" s="85" t="s">
        <v>902</v>
      </c>
      <c r="B40" s="85" t="s">
        <v>1791</v>
      </c>
      <c r="C40" s="84" t="s">
        <v>922</v>
      </c>
      <c r="D40" s="84" t="s">
        <v>940</v>
      </c>
      <c r="E40" s="84" t="s">
        <v>923</v>
      </c>
      <c r="F40" s="84" t="s">
        <v>939</v>
      </c>
    </row>
    <row r="41" spans="1:6" hidden="1" x14ac:dyDescent="0.25">
      <c r="A41" s="85" t="s">
        <v>1792</v>
      </c>
      <c r="B41" s="85" t="s">
        <v>1793</v>
      </c>
      <c r="C41" s="84" t="s">
        <v>922</v>
      </c>
      <c r="D41" s="84" t="s">
        <v>1794</v>
      </c>
      <c r="E41" s="84" t="s">
        <v>923</v>
      </c>
      <c r="F41" s="84" t="s">
        <v>939</v>
      </c>
    </row>
    <row r="42" spans="1:6" hidden="1" x14ac:dyDescent="0.25">
      <c r="A42" s="85" t="s">
        <v>1795</v>
      </c>
      <c r="B42" s="85" t="s">
        <v>1795</v>
      </c>
      <c r="C42" s="84" t="s">
        <v>958</v>
      </c>
      <c r="D42" s="84" t="s">
        <v>1796</v>
      </c>
      <c r="E42" s="84" t="s">
        <v>923</v>
      </c>
      <c r="F42" s="84" t="s">
        <v>939</v>
      </c>
    </row>
    <row r="43" spans="1:6" hidden="1" x14ac:dyDescent="0.25">
      <c r="A43" s="85" t="s">
        <v>1797</v>
      </c>
      <c r="B43" s="85" t="s">
        <v>1797</v>
      </c>
      <c r="C43" s="84" t="s">
        <v>958</v>
      </c>
      <c r="D43" s="84" t="s">
        <v>1798</v>
      </c>
      <c r="E43" s="84" t="s">
        <v>923</v>
      </c>
      <c r="F43" s="84" t="s">
        <v>939</v>
      </c>
    </row>
    <row r="44" spans="1:6" hidden="1" x14ac:dyDescent="0.25">
      <c r="A44" s="85" t="s">
        <v>1799</v>
      </c>
      <c r="B44" s="85" t="s">
        <v>1799</v>
      </c>
      <c r="C44" s="84" t="s">
        <v>958</v>
      </c>
      <c r="D44" s="84" t="s">
        <v>1800</v>
      </c>
      <c r="E44" s="84" t="s">
        <v>923</v>
      </c>
      <c r="F44" s="84" t="s">
        <v>939</v>
      </c>
    </row>
    <row r="45" spans="1:6" hidden="1" x14ac:dyDescent="0.25">
      <c r="A45" s="85" t="s">
        <v>1801</v>
      </c>
      <c r="B45" s="85" t="s">
        <v>1801</v>
      </c>
      <c r="C45" s="84" t="s">
        <v>958</v>
      </c>
      <c r="D45" s="84" t="s">
        <v>1802</v>
      </c>
      <c r="E45" s="84" t="s">
        <v>923</v>
      </c>
      <c r="F45" s="84" t="s">
        <v>939</v>
      </c>
    </row>
    <row r="46" spans="1:6" hidden="1" x14ac:dyDescent="0.25">
      <c r="A46" s="85" t="s">
        <v>1803</v>
      </c>
      <c r="B46" s="85" t="s">
        <v>1803</v>
      </c>
      <c r="C46" s="84" t="s">
        <v>958</v>
      </c>
      <c r="D46" s="84" t="s">
        <v>1804</v>
      </c>
      <c r="E46" s="84" t="s">
        <v>923</v>
      </c>
      <c r="F46" s="84" t="s">
        <v>939</v>
      </c>
    </row>
    <row r="47" spans="1:6" hidden="1" x14ac:dyDescent="0.25">
      <c r="A47" s="85" t="s">
        <v>1805</v>
      </c>
      <c r="B47" s="85" t="s">
        <v>1805</v>
      </c>
      <c r="C47" s="84" t="s">
        <v>958</v>
      </c>
      <c r="D47" s="84" t="s">
        <v>1806</v>
      </c>
      <c r="E47" s="84" t="s">
        <v>923</v>
      </c>
      <c r="F47" s="84" t="s">
        <v>939</v>
      </c>
    </row>
    <row r="48" spans="1:6" hidden="1" x14ac:dyDescent="0.25">
      <c r="A48" s="85" t="s">
        <v>908</v>
      </c>
      <c r="B48" s="85" t="s">
        <v>1807</v>
      </c>
      <c r="C48" s="84" t="s">
        <v>922</v>
      </c>
      <c r="D48" s="84" t="s">
        <v>941</v>
      </c>
      <c r="E48" s="84" t="s">
        <v>923</v>
      </c>
      <c r="F48" s="84" t="s">
        <v>942</v>
      </c>
    </row>
    <row r="49" spans="1:6" hidden="1" x14ac:dyDescent="0.25">
      <c r="A49" s="85" t="s">
        <v>910</v>
      </c>
      <c r="B49" s="85" t="s">
        <v>1808</v>
      </c>
      <c r="C49" s="84" t="s">
        <v>922</v>
      </c>
      <c r="D49" s="84" t="s">
        <v>943</v>
      </c>
      <c r="E49" s="84" t="s">
        <v>923</v>
      </c>
      <c r="F49" s="84" t="s">
        <v>942</v>
      </c>
    </row>
    <row r="50" spans="1:6" hidden="1" x14ac:dyDescent="0.25">
      <c r="A50" s="85" t="s">
        <v>912</v>
      </c>
      <c r="B50" s="85" t="s">
        <v>1809</v>
      </c>
      <c r="C50" s="84" t="s">
        <v>922</v>
      </c>
      <c r="D50" s="84" t="s">
        <v>944</v>
      </c>
      <c r="E50" s="84" t="s">
        <v>923</v>
      </c>
      <c r="F50" s="84" t="s">
        <v>942</v>
      </c>
    </row>
    <row r="51" spans="1:6" hidden="1" x14ac:dyDescent="0.25">
      <c r="A51" s="85" t="s">
        <v>1810</v>
      </c>
      <c r="B51" s="85" t="s">
        <v>1810</v>
      </c>
      <c r="C51" s="84" t="s">
        <v>958</v>
      </c>
      <c r="D51" s="84" t="s">
        <v>1811</v>
      </c>
      <c r="E51" s="84" t="s">
        <v>923</v>
      </c>
      <c r="F51" s="84" t="s">
        <v>942</v>
      </c>
    </row>
    <row r="52" spans="1:6" hidden="1" x14ac:dyDescent="0.25">
      <c r="A52" s="85" t="s">
        <v>1812</v>
      </c>
      <c r="B52" s="85" t="s">
        <v>1812</v>
      </c>
      <c r="C52" s="84" t="s">
        <v>958</v>
      </c>
      <c r="D52" s="84" t="s">
        <v>1813</v>
      </c>
      <c r="E52" s="84" t="s">
        <v>923</v>
      </c>
      <c r="F52" s="84" t="s">
        <v>942</v>
      </c>
    </row>
    <row r="53" spans="1:6" hidden="1" x14ac:dyDescent="0.25">
      <c r="A53" s="85" t="s">
        <v>1814</v>
      </c>
      <c r="B53" s="85" t="s">
        <v>1814</v>
      </c>
      <c r="C53" s="84" t="s">
        <v>958</v>
      </c>
      <c r="D53" s="84" t="s">
        <v>1815</v>
      </c>
      <c r="E53" s="84" t="s">
        <v>923</v>
      </c>
      <c r="F53" s="84" t="s">
        <v>942</v>
      </c>
    </row>
    <row r="54" spans="1:6" hidden="1" x14ac:dyDescent="0.25">
      <c r="A54" s="85" t="s">
        <v>1816</v>
      </c>
      <c r="B54" s="85" t="s">
        <v>1816</v>
      </c>
      <c r="C54" s="84" t="s">
        <v>958</v>
      </c>
      <c r="D54" s="84" t="s">
        <v>1817</v>
      </c>
      <c r="E54" s="84" t="s">
        <v>923</v>
      </c>
      <c r="F54" s="84" t="s">
        <v>942</v>
      </c>
    </row>
    <row r="55" spans="1:6" hidden="1" x14ac:dyDescent="0.25">
      <c r="A55" s="85" t="s">
        <v>1818</v>
      </c>
      <c r="B55" s="85" t="s">
        <v>1819</v>
      </c>
      <c r="C55" s="84" t="s">
        <v>922</v>
      </c>
      <c r="D55" s="84" t="s">
        <v>1820</v>
      </c>
      <c r="E55" s="84" t="s">
        <v>923</v>
      </c>
      <c r="F55" s="84" t="s">
        <v>1043</v>
      </c>
    </row>
    <row r="56" spans="1:6" hidden="1" x14ac:dyDescent="0.25">
      <c r="A56" s="85" t="s">
        <v>1821</v>
      </c>
      <c r="B56" s="85" t="s">
        <v>1822</v>
      </c>
      <c r="C56" s="84" t="s">
        <v>922</v>
      </c>
      <c r="D56" s="84" t="s">
        <v>1823</v>
      </c>
      <c r="E56" s="84" t="s">
        <v>923</v>
      </c>
      <c r="F56" s="84" t="s">
        <v>1043</v>
      </c>
    </row>
    <row r="57" spans="1:6" hidden="1" x14ac:dyDescent="0.25">
      <c r="A57" s="85" t="s">
        <v>1824</v>
      </c>
      <c r="B57" s="85" t="s">
        <v>1825</v>
      </c>
      <c r="C57" s="84" t="s">
        <v>922</v>
      </c>
      <c r="D57" s="84" t="s">
        <v>1826</v>
      </c>
      <c r="E57" s="84" t="s">
        <v>923</v>
      </c>
      <c r="F57" s="84" t="s">
        <v>1043</v>
      </c>
    </row>
    <row r="58" spans="1:6" hidden="1" x14ac:dyDescent="0.25">
      <c r="A58" s="85" t="s">
        <v>1827</v>
      </c>
      <c r="B58" s="85" t="s">
        <v>1827</v>
      </c>
      <c r="C58" s="84" t="s">
        <v>958</v>
      </c>
      <c r="D58" s="84" t="s">
        <v>1828</v>
      </c>
      <c r="E58" s="84" t="s">
        <v>923</v>
      </c>
      <c r="F58" s="84" t="s">
        <v>1043</v>
      </c>
    </row>
    <row r="59" spans="1:6" hidden="1" x14ac:dyDescent="0.25">
      <c r="A59" s="85" t="s">
        <v>1829</v>
      </c>
      <c r="B59" s="85" t="s">
        <v>1829</v>
      </c>
      <c r="C59" s="84" t="s">
        <v>958</v>
      </c>
      <c r="D59" s="84" t="s">
        <v>1830</v>
      </c>
      <c r="E59" s="84" t="s">
        <v>923</v>
      </c>
      <c r="F59" s="84" t="s">
        <v>1043</v>
      </c>
    </row>
    <row r="60" spans="1:6" hidden="1" x14ac:dyDescent="0.25">
      <c r="A60" s="85" t="s">
        <v>1831</v>
      </c>
      <c r="B60" s="85" t="s">
        <v>1831</v>
      </c>
      <c r="C60" s="84" t="s">
        <v>958</v>
      </c>
      <c r="D60" s="84" t="s">
        <v>1832</v>
      </c>
      <c r="E60" s="84" t="s">
        <v>923</v>
      </c>
      <c r="F60" s="84" t="s">
        <v>1043</v>
      </c>
    </row>
    <row r="61" spans="1:6" hidden="1" x14ac:dyDescent="0.25">
      <c r="A61" s="85" t="s">
        <v>1833</v>
      </c>
      <c r="B61" s="85" t="s">
        <v>1833</v>
      </c>
      <c r="C61" s="84" t="s">
        <v>958</v>
      </c>
      <c r="D61" s="84" t="s">
        <v>1834</v>
      </c>
      <c r="E61" s="84" t="s">
        <v>923</v>
      </c>
      <c r="F61" s="84" t="s">
        <v>1835</v>
      </c>
    </row>
    <row r="62" spans="1:6" hidden="1" x14ac:dyDescent="0.25">
      <c r="A62" s="85" t="s">
        <v>1836</v>
      </c>
      <c r="B62" s="85" t="s">
        <v>1836</v>
      </c>
      <c r="C62" s="84" t="s">
        <v>958</v>
      </c>
      <c r="D62" s="84" t="s">
        <v>1837</v>
      </c>
      <c r="E62" s="84" t="s">
        <v>923</v>
      </c>
      <c r="F62" s="84" t="s">
        <v>1835</v>
      </c>
    </row>
    <row r="63" spans="1:6" hidden="1" x14ac:dyDescent="0.25">
      <c r="A63" s="85" t="s">
        <v>1838</v>
      </c>
      <c r="B63" s="85" t="s">
        <v>1838</v>
      </c>
      <c r="C63" s="84" t="s">
        <v>958</v>
      </c>
      <c r="D63" s="84" t="s">
        <v>1839</v>
      </c>
      <c r="E63" s="84" t="s">
        <v>923</v>
      </c>
      <c r="F63" s="84" t="s">
        <v>1835</v>
      </c>
    </row>
    <row r="64" spans="1:6" hidden="1" x14ac:dyDescent="0.25">
      <c r="A64" s="85" t="s">
        <v>904</v>
      </c>
      <c r="B64" s="85" t="s">
        <v>1840</v>
      </c>
      <c r="C64" s="84" t="s">
        <v>922</v>
      </c>
      <c r="D64" s="84" t="s">
        <v>945</v>
      </c>
      <c r="E64" s="84" t="s">
        <v>923</v>
      </c>
      <c r="F64" s="84" t="s">
        <v>946</v>
      </c>
    </row>
    <row r="65" spans="1:6" hidden="1" x14ac:dyDescent="0.25">
      <c r="A65" s="85" t="s">
        <v>906</v>
      </c>
      <c r="B65" s="85" t="s">
        <v>1841</v>
      </c>
      <c r="C65" s="84" t="s">
        <v>922</v>
      </c>
      <c r="D65" s="84" t="s">
        <v>947</v>
      </c>
      <c r="E65" s="84" t="s">
        <v>923</v>
      </c>
      <c r="F65" s="84" t="s">
        <v>946</v>
      </c>
    </row>
    <row r="66" spans="1:6" hidden="1" x14ac:dyDescent="0.25">
      <c r="A66" s="85" t="s">
        <v>1842</v>
      </c>
      <c r="B66" s="85" t="s">
        <v>1843</v>
      </c>
      <c r="C66" s="84" t="s">
        <v>922</v>
      </c>
      <c r="D66" s="84" t="s">
        <v>1844</v>
      </c>
      <c r="E66" s="84" t="s">
        <v>923</v>
      </c>
      <c r="F66" s="84" t="s">
        <v>946</v>
      </c>
    </row>
    <row r="67" spans="1:6" hidden="1" x14ac:dyDescent="0.25">
      <c r="A67" s="85" t="s">
        <v>1845</v>
      </c>
      <c r="B67" s="85" t="s">
        <v>1845</v>
      </c>
      <c r="C67" s="84" t="s">
        <v>958</v>
      </c>
      <c r="D67" s="84" t="s">
        <v>1846</v>
      </c>
      <c r="E67" s="84" t="s">
        <v>923</v>
      </c>
      <c r="F67" s="84" t="s">
        <v>946</v>
      </c>
    </row>
    <row r="68" spans="1:6" hidden="1" x14ac:dyDescent="0.25">
      <c r="A68" s="85" t="s">
        <v>1847</v>
      </c>
      <c r="B68" s="85" t="s">
        <v>1847</v>
      </c>
      <c r="C68" s="84" t="s">
        <v>958</v>
      </c>
      <c r="D68" s="84" t="s">
        <v>1848</v>
      </c>
      <c r="E68" s="84" t="s">
        <v>923</v>
      </c>
      <c r="F68" s="84" t="s">
        <v>946</v>
      </c>
    </row>
    <row r="69" spans="1:6" hidden="1" x14ac:dyDescent="0.25">
      <c r="A69" s="85" t="s">
        <v>1849</v>
      </c>
      <c r="B69" s="85" t="s">
        <v>1849</v>
      </c>
      <c r="C69" s="84" t="s">
        <v>958</v>
      </c>
      <c r="D69" s="84" t="s">
        <v>1850</v>
      </c>
      <c r="E69" s="84" t="s">
        <v>923</v>
      </c>
      <c r="F69" s="84" t="s">
        <v>946</v>
      </c>
    </row>
    <row r="70" spans="1:6" hidden="1" x14ac:dyDescent="0.25">
      <c r="A70" s="85" t="s">
        <v>1851</v>
      </c>
      <c r="B70" s="85" t="s">
        <v>1851</v>
      </c>
      <c r="C70" s="84" t="s">
        <v>958</v>
      </c>
      <c r="D70" s="84" t="s">
        <v>1852</v>
      </c>
      <c r="E70" s="84" t="s">
        <v>923</v>
      </c>
      <c r="F70" s="84" t="s">
        <v>946</v>
      </c>
    </row>
    <row r="71" spans="1:6" hidden="1" x14ac:dyDescent="0.25">
      <c r="A71" s="85" t="s">
        <v>888</v>
      </c>
      <c r="B71" s="85" t="s">
        <v>1853</v>
      </c>
      <c r="C71" s="84" t="s">
        <v>922</v>
      </c>
      <c r="D71" s="84" t="s">
        <v>948</v>
      </c>
      <c r="E71" s="84" t="s">
        <v>923</v>
      </c>
      <c r="F71" s="84" t="s">
        <v>949</v>
      </c>
    </row>
    <row r="72" spans="1:6" hidden="1" x14ac:dyDescent="0.25">
      <c r="A72" s="85" t="s">
        <v>890</v>
      </c>
      <c r="B72" s="85" t="s">
        <v>1854</v>
      </c>
      <c r="C72" s="84" t="s">
        <v>922</v>
      </c>
      <c r="D72" s="84" t="s">
        <v>950</v>
      </c>
      <c r="E72" s="84" t="s">
        <v>923</v>
      </c>
      <c r="F72" s="84" t="s">
        <v>949</v>
      </c>
    </row>
    <row r="73" spans="1:6" hidden="1" x14ac:dyDescent="0.25">
      <c r="A73" s="85" t="s">
        <v>892</v>
      </c>
      <c r="B73" s="85" t="s">
        <v>1855</v>
      </c>
      <c r="C73" s="84" t="s">
        <v>922</v>
      </c>
      <c r="D73" s="84" t="s">
        <v>951</v>
      </c>
      <c r="E73" s="84" t="s">
        <v>923</v>
      </c>
      <c r="F73" s="84" t="s">
        <v>949</v>
      </c>
    </row>
    <row r="74" spans="1:6" hidden="1" x14ac:dyDescent="0.25">
      <c r="A74" s="85" t="s">
        <v>1856</v>
      </c>
      <c r="B74" s="85" t="s">
        <v>1856</v>
      </c>
      <c r="C74" s="84" t="s">
        <v>958</v>
      </c>
      <c r="D74" s="84" t="s">
        <v>1857</v>
      </c>
      <c r="E74" s="84" t="s">
        <v>923</v>
      </c>
      <c r="F74" s="84" t="s">
        <v>949</v>
      </c>
    </row>
    <row r="75" spans="1:6" hidden="1" x14ac:dyDescent="0.25">
      <c r="A75" s="85" t="s">
        <v>1858</v>
      </c>
      <c r="B75" s="85" t="s">
        <v>1858</v>
      </c>
      <c r="C75" s="84" t="s">
        <v>958</v>
      </c>
      <c r="D75" s="84" t="s">
        <v>1859</v>
      </c>
      <c r="E75" s="84" t="s">
        <v>923</v>
      </c>
      <c r="F75" s="84" t="s">
        <v>949</v>
      </c>
    </row>
    <row r="76" spans="1:6" hidden="1" x14ac:dyDescent="0.25">
      <c r="A76" s="85" t="s">
        <v>1860</v>
      </c>
      <c r="B76" s="85" t="s">
        <v>1860</v>
      </c>
      <c r="C76" s="84" t="s">
        <v>958</v>
      </c>
      <c r="D76" s="84" t="s">
        <v>1861</v>
      </c>
      <c r="E76" s="84" t="s">
        <v>923</v>
      </c>
      <c r="F76" s="84" t="s">
        <v>949</v>
      </c>
    </row>
    <row r="77" spans="1:6" hidden="1" x14ac:dyDescent="0.25">
      <c r="A77" s="85" t="s">
        <v>916</v>
      </c>
      <c r="B77" s="85" t="s">
        <v>1862</v>
      </c>
      <c r="C77" s="84" t="s">
        <v>922</v>
      </c>
      <c r="D77" s="84" t="s">
        <v>952</v>
      </c>
      <c r="E77" s="84" t="s">
        <v>923</v>
      </c>
      <c r="F77" s="84" t="s">
        <v>953</v>
      </c>
    </row>
    <row r="78" spans="1:6" hidden="1" x14ac:dyDescent="0.25">
      <c r="A78" s="85" t="s">
        <v>1863</v>
      </c>
      <c r="B78" s="85" t="s">
        <v>1863</v>
      </c>
      <c r="C78" s="84" t="s">
        <v>958</v>
      </c>
      <c r="D78" s="84" t="s">
        <v>1864</v>
      </c>
      <c r="E78" s="84" t="s">
        <v>923</v>
      </c>
      <c r="F78" s="84" t="s">
        <v>953</v>
      </c>
    </row>
    <row r="79" spans="1:6" hidden="1" x14ac:dyDescent="0.25">
      <c r="A79" s="85" t="s">
        <v>1865</v>
      </c>
      <c r="B79" s="85" t="s">
        <v>1865</v>
      </c>
      <c r="C79" s="84" t="s">
        <v>958</v>
      </c>
      <c r="D79" s="84" t="s">
        <v>1866</v>
      </c>
      <c r="E79" s="84" t="s">
        <v>923</v>
      </c>
      <c r="F79" s="84" t="s">
        <v>953</v>
      </c>
    </row>
    <row r="80" spans="1:6" hidden="1" x14ac:dyDescent="0.25">
      <c r="A80" s="85" t="s">
        <v>1867</v>
      </c>
      <c r="B80" s="85" t="s">
        <v>1867</v>
      </c>
      <c r="C80" s="84" t="s">
        <v>958</v>
      </c>
      <c r="D80" s="84" t="s">
        <v>1868</v>
      </c>
      <c r="E80" s="84" t="s">
        <v>923</v>
      </c>
      <c r="F80" s="84" t="s">
        <v>1869</v>
      </c>
    </row>
    <row r="81" spans="1:6" hidden="1" x14ac:dyDescent="0.25">
      <c r="A81" s="85" t="s">
        <v>1870</v>
      </c>
      <c r="B81" s="85" t="s">
        <v>1870</v>
      </c>
      <c r="C81" s="84" t="s">
        <v>958</v>
      </c>
      <c r="D81" s="84" t="s">
        <v>1871</v>
      </c>
      <c r="E81" s="84" t="s">
        <v>923</v>
      </c>
      <c r="F81" s="84" t="s">
        <v>1869</v>
      </c>
    </row>
    <row r="82" spans="1:6" hidden="1" x14ac:dyDescent="0.25">
      <c r="A82" s="85" t="s">
        <v>1872</v>
      </c>
      <c r="B82" s="85" t="s">
        <v>1872</v>
      </c>
      <c r="C82" s="84" t="s">
        <v>958</v>
      </c>
      <c r="D82" s="84" t="s">
        <v>1873</v>
      </c>
      <c r="E82" s="84" t="s">
        <v>923</v>
      </c>
      <c r="F82" s="84" t="s">
        <v>1869</v>
      </c>
    </row>
    <row r="83" spans="1:6" hidden="1" x14ac:dyDescent="0.25">
      <c r="A83" s="85" t="s">
        <v>264</v>
      </c>
      <c r="B83" s="85" t="s">
        <v>1874</v>
      </c>
      <c r="C83" s="84" t="s">
        <v>922</v>
      </c>
      <c r="D83" s="84" t="s">
        <v>954</v>
      </c>
      <c r="E83" s="84" t="s">
        <v>955</v>
      </c>
      <c r="F83" s="84" t="s">
        <v>956</v>
      </c>
    </row>
    <row r="84" spans="1:6" hidden="1" x14ac:dyDescent="0.25">
      <c r="A84" s="85" t="s">
        <v>1875</v>
      </c>
      <c r="B84" s="85" t="s">
        <v>1875</v>
      </c>
      <c r="C84" s="84" t="s">
        <v>922</v>
      </c>
      <c r="D84" s="84" t="s">
        <v>954</v>
      </c>
      <c r="E84" s="84" t="s">
        <v>955</v>
      </c>
      <c r="F84" s="84" t="s">
        <v>956</v>
      </c>
    </row>
    <row r="85" spans="1:6" hidden="1" x14ac:dyDescent="0.25">
      <c r="A85" s="85" t="s">
        <v>196</v>
      </c>
      <c r="B85" s="85" t="s">
        <v>196</v>
      </c>
      <c r="C85" s="84" t="s">
        <v>958</v>
      </c>
      <c r="D85" s="84" t="s">
        <v>957</v>
      </c>
      <c r="E85" s="84" t="s">
        <v>955</v>
      </c>
      <c r="F85" s="84" t="s">
        <v>956</v>
      </c>
    </row>
    <row r="86" spans="1:6" hidden="1" x14ac:dyDescent="0.25">
      <c r="A86" s="85" t="s">
        <v>1876</v>
      </c>
      <c r="B86" s="85" t="s">
        <v>1876</v>
      </c>
      <c r="C86" s="84" t="s">
        <v>958</v>
      </c>
      <c r="D86" s="84" t="s">
        <v>1877</v>
      </c>
      <c r="E86" s="84" t="s">
        <v>955</v>
      </c>
      <c r="F86" s="84" t="s">
        <v>956</v>
      </c>
    </row>
    <row r="87" spans="1:6" hidden="1" x14ac:dyDescent="0.25">
      <c r="A87" s="85" t="s">
        <v>1878</v>
      </c>
      <c r="B87" s="85" t="s">
        <v>1878</v>
      </c>
      <c r="C87" s="84" t="s">
        <v>958</v>
      </c>
      <c r="D87" s="84" t="s">
        <v>1879</v>
      </c>
      <c r="E87" s="84" t="s">
        <v>955</v>
      </c>
      <c r="F87" s="84" t="s">
        <v>956</v>
      </c>
    </row>
    <row r="88" spans="1:6" hidden="1" x14ac:dyDescent="0.25">
      <c r="A88" s="85" t="s">
        <v>1880</v>
      </c>
      <c r="B88" s="85" t="s">
        <v>1880</v>
      </c>
      <c r="C88" s="84" t="s">
        <v>958</v>
      </c>
      <c r="D88" s="84" t="s">
        <v>1879</v>
      </c>
      <c r="E88" s="84" t="s">
        <v>955</v>
      </c>
      <c r="F88" s="84" t="s">
        <v>956</v>
      </c>
    </row>
    <row r="89" spans="1:6" hidden="1" x14ac:dyDescent="0.25">
      <c r="A89" s="85" t="s">
        <v>197</v>
      </c>
      <c r="B89" s="85" t="s">
        <v>197</v>
      </c>
      <c r="C89" s="84" t="s">
        <v>958</v>
      </c>
      <c r="D89" s="84" t="s">
        <v>959</v>
      </c>
      <c r="E89" s="84" t="s">
        <v>955</v>
      </c>
      <c r="F89" s="84" t="s">
        <v>956</v>
      </c>
    </row>
    <row r="90" spans="1:6" hidden="1" x14ac:dyDescent="0.25">
      <c r="A90" s="85" t="s">
        <v>1881</v>
      </c>
      <c r="B90" s="85" t="s">
        <v>1881</v>
      </c>
      <c r="C90" s="84" t="s">
        <v>958</v>
      </c>
      <c r="D90" s="84" t="s">
        <v>1882</v>
      </c>
      <c r="E90" s="84" t="s">
        <v>955</v>
      </c>
      <c r="F90" s="84" t="s">
        <v>956</v>
      </c>
    </row>
    <row r="91" spans="1:6" hidden="1" x14ac:dyDescent="0.25">
      <c r="A91" s="85" t="s">
        <v>1883</v>
      </c>
      <c r="B91" s="85" t="s">
        <v>1883</v>
      </c>
      <c r="C91" s="84" t="s">
        <v>958</v>
      </c>
      <c r="D91" s="84" t="s">
        <v>1884</v>
      </c>
      <c r="E91" s="84" t="s">
        <v>955</v>
      </c>
      <c r="F91" s="84" t="s">
        <v>956</v>
      </c>
    </row>
    <row r="92" spans="1:6" hidden="1" x14ac:dyDescent="0.25">
      <c r="A92" s="85" t="s">
        <v>1885</v>
      </c>
      <c r="B92" s="85" t="s">
        <v>1885</v>
      </c>
      <c r="C92" s="84" t="s">
        <v>958</v>
      </c>
      <c r="D92" s="84" t="s">
        <v>1886</v>
      </c>
      <c r="E92" s="84" t="s">
        <v>955</v>
      </c>
      <c r="F92" s="84" t="s">
        <v>956</v>
      </c>
    </row>
    <row r="93" spans="1:6" hidden="1" x14ac:dyDescent="0.25">
      <c r="A93" s="85" t="s">
        <v>1887</v>
      </c>
      <c r="B93" s="85" t="s">
        <v>1887</v>
      </c>
      <c r="C93" s="84" t="s">
        <v>958</v>
      </c>
      <c r="D93" s="84" t="s">
        <v>1888</v>
      </c>
      <c r="E93" s="84" t="s">
        <v>955</v>
      </c>
      <c r="F93" s="84" t="s">
        <v>956</v>
      </c>
    </row>
    <row r="94" spans="1:6" hidden="1" x14ac:dyDescent="0.25">
      <c r="A94" s="85" t="s">
        <v>1889</v>
      </c>
      <c r="B94" s="85" t="s">
        <v>1889</v>
      </c>
      <c r="C94" s="84" t="s">
        <v>922</v>
      </c>
      <c r="D94" s="84" t="s">
        <v>1890</v>
      </c>
      <c r="E94" s="84" t="s">
        <v>955</v>
      </c>
      <c r="F94" s="84" t="s">
        <v>961</v>
      </c>
    </row>
    <row r="95" spans="1:6" hidden="1" x14ac:dyDescent="0.25">
      <c r="A95" s="85" t="s">
        <v>273</v>
      </c>
      <c r="B95" s="85" t="s">
        <v>1891</v>
      </c>
      <c r="C95" s="84" t="s">
        <v>922</v>
      </c>
      <c r="D95" s="84" t="s">
        <v>960</v>
      </c>
      <c r="E95" s="84" t="s">
        <v>955</v>
      </c>
      <c r="F95" s="84" t="s">
        <v>961</v>
      </c>
    </row>
    <row r="96" spans="1:6" hidden="1" x14ac:dyDescent="0.25">
      <c r="A96" s="85" t="s">
        <v>1892</v>
      </c>
      <c r="B96" s="85" t="s">
        <v>1891</v>
      </c>
      <c r="C96" s="84" t="s">
        <v>922</v>
      </c>
      <c r="D96" s="84" t="s">
        <v>1893</v>
      </c>
      <c r="E96" s="84" t="s">
        <v>955</v>
      </c>
      <c r="F96" s="84" t="s">
        <v>961</v>
      </c>
    </row>
    <row r="97" spans="1:6" hidden="1" x14ac:dyDescent="0.25">
      <c r="A97" s="85" t="s">
        <v>1894</v>
      </c>
      <c r="B97" s="85" t="s">
        <v>1894</v>
      </c>
      <c r="C97" s="84" t="s">
        <v>922</v>
      </c>
      <c r="D97" s="84" t="s">
        <v>960</v>
      </c>
      <c r="E97" s="84" t="s">
        <v>955</v>
      </c>
      <c r="F97" s="84" t="s">
        <v>961</v>
      </c>
    </row>
    <row r="98" spans="1:6" hidden="1" x14ac:dyDescent="0.25">
      <c r="A98" s="85" t="s">
        <v>221</v>
      </c>
      <c r="B98" s="85" t="s">
        <v>221</v>
      </c>
      <c r="C98" s="84" t="s">
        <v>958</v>
      </c>
      <c r="D98" s="84" t="s">
        <v>962</v>
      </c>
      <c r="E98" s="84" t="s">
        <v>955</v>
      </c>
      <c r="F98" s="84" t="s">
        <v>961</v>
      </c>
    </row>
    <row r="99" spans="1:6" hidden="1" x14ac:dyDescent="0.25">
      <c r="A99" s="85" t="s">
        <v>1895</v>
      </c>
      <c r="B99" s="85" t="s">
        <v>1895</v>
      </c>
      <c r="C99" s="84" t="s">
        <v>958</v>
      </c>
      <c r="D99" s="84" t="s">
        <v>1896</v>
      </c>
      <c r="E99" s="84" t="s">
        <v>955</v>
      </c>
      <c r="F99" s="84" t="s">
        <v>961</v>
      </c>
    </row>
    <row r="100" spans="1:6" hidden="1" x14ac:dyDescent="0.25">
      <c r="A100" s="85" t="s">
        <v>1897</v>
      </c>
      <c r="B100" s="85" t="s">
        <v>1897</v>
      </c>
      <c r="C100" s="84" t="s">
        <v>958</v>
      </c>
      <c r="D100" s="84" t="s">
        <v>1898</v>
      </c>
      <c r="E100" s="84" t="s">
        <v>955</v>
      </c>
      <c r="F100" s="84" t="s">
        <v>961</v>
      </c>
    </row>
    <row r="101" spans="1:6" hidden="1" x14ac:dyDescent="0.25">
      <c r="A101" s="85" t="s">
        <v>321</v>
      </c>
      <c r="B101" s="85" t="s">
        <v>1899</v>
      </c>
      <c r="C101" s="84" t="s">
        <v>922</v>
      </c>
      <c r="D101" s="84" t="s">
        <v>1900</v>
      </c>
      <c r="E101" s="84" t="s">
        <v>955</v>
      </c>
      <c r="F101" s="84" t="s">
        <v>1901</v>
      </c>
    </row>
    <row r="102" spans="1:6" hidden="1" x14ac:dyDescent="0.25">
      <c r="A102" s="85" t="s">
        <v>1902</v>
      </c>
      <c r="B102" s="85" t="s">
        <v>1903</v>
      </c>
      <c r="C102" s="84" t="s">
        <v>922</v>
      </c>
      <c r="D102" s="84" t="s">
        <v>1904</v>
      </c>
      <c r="E102" s="84" t="s">
        <v>955</v>
      </c>
      <c r="F102" s="84" t="s">
        <v>1901</v>
      </c>
    </row>
    <row r="103" spans="1:6" hidden="1" x14ac:dyDescent="0.25">
      <c r="A103" s="85" t="s">
        <v>1905</v>
      </c>
      <c r="B103" s="85" t="s">
        <v>1906</v>
      </c>
      <c r="C103" s="84" t="s">
        <v>922</v>
      </c>
      <c r="D103" s="84" t="s">
        <v>1907</v>
      </c>
      <c r="E103" s="84" t="s">
        <v>955</v>
      </c>
      <c r="F103" s="84" t="s">
        <v>1901</v>
      </c>
    </row>
    <row r="104" spans="1:6" hidden="1" x14ac:dyDescent="0.25">
      <c r="A104" s="85" t="s">
        <v>1908</v>
      </c>
      <c r="B104" s="85" t="s">
        <v>1909</v>
      </c>
      <c r="C104" s="84" t="s">
        <v>922</v>
      </c>
      <c r="D104" s="84" t="s">
        <v>1910</v>
      </c>
      <c r="E104" s="84" t="s">
        <v>955</v>
      </c>
      <c r="F104" s="84" t="s">
        <v>1901</v>
      </c>
    </row>
    <row r="105" spans="1:6" hidden="1" x14ac:dyDescent="0.25">
      <c r="A105" s="85" t="s">
        <v>1911</v>
      </c>
      <c r="B105" s="85" t="s">
        <v>1912</v>
      </c>
      <c r="C105" s="84" t="s">
        <v>922</v>
      </c>
      <c r="D105" s="84" t="s">
        <v>1913</v>
      </c>
      <c r="E105" s="84" t="s">
        <v>955</v>
      </c>
      <c r="F105" s="84" t="s">
        <v>1901</v>
      </c>
    </row>
    <row r="106" spans="1:6" hidden="1" x14ac:dyDescent="0.25">
      <c r="A106" s="85" t="s">
        <v>1914</v>
      </c>
      <c r="B106" s="85" t="s">
        <v>1915</v>
      </c>
      <c r="C106" s="84" t="s">
        <v>922</v>
      </c>
      <c r="D106" s="84" t="s">
        <v>1916</v>
      </c>
      <c r="E106" s="84" t="s">
        <v>955</v>
      </c>
      <c r="F106" s="84" t="s">
        <v>1901</v>
      </c>
    </row>
    <row r="107" spans="1:6" hidden="1" x14ac:dyDescent="0.25">
      <c r="A107" s="85" t="s">
        <v>324</v>
      </c>
      <c r="B107" s="85" t="s">
        <v>1917</v>
      </c>
      <c r="C107" s="84" t="s">
        <v>922</v>
      </c>
      <c r="D107" s="84" t="s">
        <v>1918</v>
      </c>
      <c r="E107" s="84" t="s">
        <v>955</v>
      </c>
      <c r="F107" s="84" t="s">
        <v>1901</v>
      </c>
    </row>
    <row r="108" spans="1:6" hidden="1" x14ac:dyDescent="0.25">
      <c r="A108" s="85" t="s">
        <v>1919</v>
      </c>
      <c r="B108" s="85" t="s">
        <v>1920</v>
      </c>
      <c r="C108" s="84" t="s">
        <v>922</v>
      </c>
      <c r="D108" s="84" t="s">
        <v>1921</v>
      </c>
      <c r="E108" s="84" t="s">
        <v>955</v>
      </c>
      <c r="F108" s="84" t="s">
        <v>1901</v>
      </c>
    </row>
    <row r="109" spans="1:6" hidden="1" x14ac:dyDescent="0.25">
      <c r="A109" s="85" t="s">
        <v>1922</v>
      </c>
      <c r="B109" s="85" t="s">
        <v>1923</v>
      </c>
      <c r="C109" s="84" t="s">
        <v>922</v>
      </c>
      <c r="D109" s="84" t="s">
        <v>1924</v>
      </c>
      <c r="E109" s="84" t="s">
        <v>955</v>
      </c>
      <c r="F109" s="84" t="s">
        <v>1901</v>
      </c>
    </row>
    <row r="110" spans="1:6" hidden="1" x14ac:dyDescent="0.25">
      <c r="A110" s="85" t="s">
        <v>1925</v>
      </c>
      <c r="B110" s="85" t="s">
        <v>1926</v>
      </c>
      <c r="C110" s="84" t="s">
        <v>922</v>
      </c>
      <c r="D110" s="84" t="s">
        <v>1927</v>
      </c>
      <c r="E110" s="84" t="s">
        <v>955</v>
      </c>
      <c r="F110" s="84" t="s">
        <v>1901</v>
      </c>
    </row>
    <row r="111" spans="1:6" hidden="1" x14ac:dyDescent="0.25">
      <c r="A111" s="85" t="s">
        <v>1928</v>
      </c>
      <c r="B111" s="85" t="s">
        <v>1929</v>
      </c>
      <c r="C111" s="84" t="s">
        <v>922</v>
      </c>
      <c r="D111" s="84" t="s">
        <v>1930</v>
      </c>
      <c r="E111" s="84" t="s">
        <v>955</v>
      </c>
      <c r="F111" s="84" t="s">
        <v>1901</v>
      </c>
    </row>
    <row r="112" spans="1:6" hidden="1" x14ac:dyDescent="0.25">
      <c r="A112" s="85" t="s">
        <v>322</v>
      </c>
      <c r="B112" s="85" t="s">
        <v>1931</v>
      </c>
      <c r="C112" s="84" t="s">
        <v>922</v>
      </c>
      <c r="D112" s="84" t="s">
        <v>1932</v>
      </c>
      <c r="E112" s="84" t="s">
        <v>955</v>
      </c>
      <c r="F112" s="84" t="s">
        <v>1901</v>
      </c>
    </row>
    <row r="113" spans="1:6" hidden="1" x14ac:dyDescent="0.25">
      <c r="A113" s="85" t="s">
        <v>323</v>
      </c>
      <c r="B113" s="85" t="s">
        <v>1933</v>
      </c>
      <c r="C113" s="84" t="s">
        <v>922</v>
      </c>
      <c r="D113" s="84" t="s">
        <v>1934</v>
      </c>
      <c r="E113" s="84" t="s">
        <v>955</v>
      </c>
      <c r="F113" s="84" t="s">
        <v>1901</v>
      </c>
    </row>
    <row r="114" spans="1:6" hidden="1" x14ac:dyDescent="0.25">
      <c r="A114" s="85" t="s">
        <v>1935</v>
      </c>
      <c r="B114" s="85" t="s">
        <v>1936</v>
      </c>
      <c r="C114" s="84" t="s">
        <v>922</v>
      </c>
      <c r="D114" s="84" t="s">
        <v>1937</v>
      </c>
      <c r="E114" s="84" t="s">
        <v>955</v>
      </c>
      <c r="F114" s="84" t="s">
        <v>1901</v>
      </c>
    </row>
    <row r="115" spans="1:6" hidden="1" x14ac:dyDescent="0.25">
      <c r="A115" s="85" t="s">
        <v>1938</v>
      </c>
      <c r="B115" s="85" t="s">
        <v>1939</v>
      </c>
      <c r="C115" s="84" t="s">
        <v>922</v>
      </c>
      <c r="D115" s="84" t="s">
        <v>1940</v>
      </c>
      <c r="E115" s="84" t="s">
        <v>955</v>
      </c>
      <c r="F115" s="84" t="s">
        <v>1901</v>
      </c>
    </row>
    <row r="116" spans="1:6" hidden="1" x14ac:dyDescent="0.25">
      <c r="A116" s="85" t="s">
        <v>1941</v>
      </c>
      <c r="B116" s="85" t="s">
        <v>1942</v>
      </c>
      <c r="C116" s="84" t="s">
        <v>922</v>
      </c>
      <c r="D116" s="84" t="s">
        <v>1943</v>
      </c>
      <c r="E116" s="84" t="s">
        <v>955</v>
      </c>
      <c r="F116" s="84" t="s">
        <v>1901</v>
      </c>
    </row>
    <row r="117" spans="1:6" hidden="1" x14ac:dyDescent="0.25">
      <c r="A117" s="85" t="s">
        <v>1944</v>
      </c>
      <c r="B117" s="85" t="s">
        <v>1944</v>
      </c>
      <c r="C117" s="84" t="s">
        <v>958</v>
      </c>
      <c r="D117" s="84" t="s">
        <v>1945</v>
      </c>
      <c r="E117" s="84" t="s">
        <v>955</v>
      </c>
      <c r="F117" s="84" t="s">
        <v>1901</v>
      </c>
    </row>
    <row r="118" spans="1:6" hidden="1" x14ac:dyDescent="0.25">
      <c r="A118" s="85" t="s">
        <v>1946</v>
      </c>
      <c r="B118" s="85" t="s">
        <v>1946</v>
      </c>
      <c r="C118" s="84" t="s">
        <v>958</v>
      </c>
      <c r="D118" s="84" t="s">
        <v>1947</v>
      </c>
      <c r="E118" s="84" t="s">
        <v>955</v>
      </c>
      <c r="F118" s="84" t="s">
        <v>1901</v>
      </c>
    </row>
    <row r="119" spans="1:6" hidden="1" x14ac:dyDescent="0.25">
      <c r="A119" s="85" t="s">
        <v>1948</v>
      </c>
      <c r="B119" s="85" t="s">
        <v>1948</v>
      </c>
      <c r="C119" s="84" t="s">
        <v>958</v>
      </c>
      <c r="D119" s="84" t="s">
        <v>1949</v>
      </c>
      <c r="E119" s="84" t="s">
        <v>955</v>
      </c>
      <c r="F119" s="84" t="s">
        <v>1901</v>
      </c>
    </row>
    <row r="120" spans="1:6" hidden="1" x14ac:dyDescent="0.25">
      <c r="A120" s="85" t="s">
        <v>1950</v>
      </c>
      <c r="B120" s="85" t="s">
        <v>1950</v>
      </c>
      <c r="C120" s="84" t="s">
        <v>958</v>
      </c>
      <c r="D120" s="84" t="s">
        <v>1951</v>
      </c>
      <c r="E120" s="84" t="s">
        <v>955</v>
      </c>
      <c r="F120" s="84" t="s">
        <v>1901</v>
      </c>
    </row>
    <row r="121" spans="1:6" hidden="1" x14ac:dyDescent="0.25">
      <c r="A121" s="85" t="s">
        <v>1952</v>
      </c>
      <c r="B121" s="85" t="s">
        <v>1952</v>
      </c>
      <c r="C121" s="84" t="s">
        <v>958</v>
      </c>
      <c r="D121" s="84" t="s">
        <v>1953</v>
      </c>
      <c r="E121" s="84" t="s">
        <v>955</v>
      </c>
      <c r="F121" s="84" t="s">
        <v>1901</v>
      </c>
    </row>
    <row r="122" spans="1:6" hidden="1" x14ac:dyDescent="0.25">
      <c r="A122" s="85" t="s">
        <v>1954</v>
      </c>
      <c r="B122" s="85" t="s">
        <v>1954</v>
      </c>
      <c r="C122" s="84" t="s">
        <v>958</v>
      </c>
      <c r="D122" s="84" t="s">
        <v>1955</v>
      </c>
      <c r="E122" s="84" t="s">
        <v>955</v>
      </c>
      <c r="F122" s="84" t="s">
        <v>1901</v>
      </c>
    </row>
    <row r="123" spans="1:6" hidden="1" x14ac:dyDescent="0.25">
      <c r="A123" s="85" t="s">
        <v>1956</v>
      </c>
      <c r="B123" s="85" t="s">
        <v>1956</v>
      </c>
      <c r="C123" s="84" t="s">
        <v>958</v>
      </c>
      <c r="D123" s="84" t="s">
        <v>1957</v>
      </c>
      <c r="E123" s="84" t="s">
        <v>955</v>
      </c>
      <c r="F123" s="84" t="s">
        <v>1901</v>
      </c>
    </row>
    <row r="124" spans="1:6" hidden="1" x14ac:dyDescent="0.25">
      <c r="A124" s="85" t="s">
        <v>1958</v>
      </c>
      <c r="B124" s="85" t="s">
        <v>1958</v>
      </c>
      <c r="C124" s="84" t="s">
        <v>958</v>
      </c>
      <c r="D124" s="84" t="s">
        <v>1959</v>
      </c>
      <c r="E124" s="84" t="s">
        <v>955</v>
      </c>
      <c r="F124" s="84" t="s">
        <v>1901</v>
      </c>
    </row>
    <row r="125" spans="1:6" hidden="1" x14ac:dyDescent="0.25">
      <c r="A125" s="85" t="s">
        <v>1960</v>
      </c>
      <c r="B125" s="85" t="s">
        <v>1960</v>
      </c>
      <c r="C125" s="84" t="s">
        <v>958</v>
      </c>
      <c r="D125" s="84" t="s">
        <v>1961</v>
      </c>
      <c r="E125" s="84" t="s">
        <v>955</v>
      </c>
      <c r="F125" s="84" t="s">
        <v>1901</v>
      </c>
    </row>
    <row r="126" spans="1:6" hidden="1" x14ac:dyDescent="0.25">
      <c r="A126" s="85" t="s">
        <v>1962</v>
      </c>
      <c r="B126" s="85" t="s">
        <v>1962</v>
      </c>
      <c r="C126" s="84" t="s">
        <v>958</v>
      </c>
      <c r="D126" s="84" t="s">
        <v>1963</v>
      </c>
      <c r="E126" s="84" t="s">
        <v>955</v>
      </c>
      <c r="F126" s="84" t="s">
        <v>1901</v>
      </c>
    </row>
    <row r="127" spans="1:6" hidden="1" x14ac:dyDescent="0.25">
      <c r="A127" s="85" t="s">
        <v>1964</v>
      </c>
      <c r="B127" s="85" t="s">
        <v>1964</v>
      </c>
      <c r="C127" s="84" t="s">
        <v>958</v>
      </c>
      <c r="D127" s="84" t="s">
        <v>1965</v>
      </c>
      <c r="E127" s="84" t="s">
        <v>955</v>
      </c>
      <c r="F127" s="84" t="s">
        <v>1901</v>
      </c>
    </row>
    <row r="128" spans="1:6" hidden="1" x14ac:dyDescent="0.25">
      <c r="A128" s="85" t="s">
        <v>1966</v>
      </c>
      <c r="B128" s="85" t="s">
        <v>1966</v>
      </c>
      <c r="C128" s="84" t="s">
        <v>958</v>
      </c>
      <c r="D128" s="84" t="s">
        <v>1967</v>
      </c>
      <c r="E128" s="84" t="s">
        <v>955</v>
      </c>
      <c r="F128" s="84" t="s">
        <v>1901</v>
      </c>
    </row>
    <row r="129" spans="1:6" hidden="1" x14ac:dyDescent="0.25">
      <c r="A129" s="85" t="s">
        <v>1968</v>
      </c>
      <c r="B129" s="85" t="s">
        <v>1968</v>
      </c>
      <c r="C129" s="84" t="s">
        <v>958</v>
      </c>
      <c r="D129" s="84" t="s">
        <v>1969</v>
      </c>
      <c r="E129" s="84" t="s">
        <v>955</v>
      </c>
      <c r="F129" s="84" t="s">
        <v>1901</v>
      </c>
    </row>
    <row r="130" spans="1:6" hidden="1" x14ac:dyDescent="0.25">
      <c r="A130" s="85" t="s">
        <v>1970</v>
      </c>
      <c r="B130" s="85" t="s">
        <v>1970</v>
      </c>
      <c r="C130" s="84" t="s">
        <v>958</v>
      </c>
      <c r="D130" s="84" t="s">
        <v>1971</v>
      </c>
      <c r="E130" s="84" t="s">
        <v>955</v>
      </c>
      <c r="F130" s="84" t="s">
        <v>1901</v>
      </c>
    </row>
    <row r="131" spans="1:6" hidden="1" x14ac:dyDescent="0.25">
      <c r="A131" s="85" t="s">
        <v>1972</v>
      </c>
      <c r="B131" s="85" t="s">
        <v>1972</v>
      </c>
      <c r="C131" s="84" t="s">
        <v>958</v>
      </c>
      <c r="D131" s="84" t="s">
        <v>1973</v>
      </c>
      <c r="E131" s="84" t="s">
        <v>955</v>
      </c>
      <c r="F131" s="84" t="s">
        <v>1901</v>
      </c>
    </row>
    <row r="132" spans="1:6" hidden="1" x14ac:dyDescent="0.25">
      <c r="A132" s="85" t="s">
        <v>1974</v>
      </c>
      <c r="B132" s="85" t="s">
        <v>1974</v>
      </c>
      <c r="C132" s="84" t="s">
        <v>958</v>
      </c>
      <c r="D132" s="84" t="s">
        <v>1975</v>
      </c>
      <c r="E132" s="84" t="s">
        <v>955</v>
      </c>
      <c r="F132" s="84" t="s">
        <v>1901</v>
      </c>
    </row>
    <row r="133" spans="1:6" hidden="1" x14ac:dyDescent="0.25">
      <c r="A133" s="85" t="s">
        <v>1976</v>
      </c>
      <c r="B133" s="85" t="s">
        <v>1976</v>
      </c>
      <c r="C133" s="84" t="s">
        <v>958</v>
      </c>
      <c r="D133" s="84" t="s">
        <v>1977</v>
      </c>
      <c r="E133" s="84" t="s">
        <v>955</v>
      </c>
      <c r="F133" s="84" t="s">
        <v>1901</v>
      </c>
    </row>
    <row r="134" spans="1:6" hidden="1" x14ac:dyDescent="0.25">
      <c r="A134" s="85" t="s">
        <v>1978</v>
      </c>
      <c r="B134" s="85" t="s">
        <v>1978</v>
      </c>
      <c r="C134" s="84" t="s">
        <v>958</v>
      </c>
      <c r="D134" s="84" t="s">
        <v>1979</v>
      </c>
      <c r="E134" s="84" t="s">
        <v>955</v>
      </c>
      <c r="F134" s="84" t="s">
        <v>1901</v>
      </c>
    </row>
    <row r="135" spans="1:6" hidden="1" x14ac:dyDescent="0.25">
      <c r="A135" s="85" t="s">
        <v>1980</v>
      </c>
      <c r="B135" s="85" t="s">
        <v>1980</v>
      </c>
      <c r="C135" s="84" t="s">
        <v>958</v>
      </c>
      <c r="D135" s="84" t="s">
        <v>1981</v>
      </c>
      <c r="E135" s="84" t="s">
        <v>955</v>
      </c>
      <c r="F135" s="84" t="s">
        <v>1901</v>
      </c>
    </row>
    <row r="136" spans="1:6" hidden="1" x14ac:dyDescent="0.25">
      <c r="A136" s="85" t="s">
        <v>1982</v>
      </c>
      <c r="B136" s="85" t="s">
        <v>1982</v>
      </c>
      <c r="C136" s="84" t="s">
        <v>958</v>
      </c>
      <c r="D136" s="84" t="s">
        <v>1983</v>
      </c>
      <c r="E136" s="84" t="s">
        <v>955</v>
      </c>
      <c r="F136" s="84" t="s">
        <v>1901</v>
      </c>
    </row>
    <row r="137" spans="1:6" hidden="1" x14ac:dyDescent="0.25">
      <c r="A137" s="85" t="s">
        <v>1984</v>
      </c>
      <c r="B137" s="85" t="s">
        <v>1984</v>
      </c>
      <c r="C137" s="84" t="s">
        <v>958</v>
      </c>
      <c r="D137" s="84" t="s">
        <v>1985</v>
      </c>
      <c r="E137" s="84" t="s">
        <v>955</v>
      </c>
      <c r="F137" s="84" t="s">
        <v>1901</v>
      </c>
    </row>
    <row r="138" spans="1:6" hidden="1" x14ac:dyDescent="0.25">
      <c r="A138" s="85" t="s">
        <v>1986</v>
      </c>
      <c r="B138" s="85" t="s">
        <v>1986</v>
      </c>
      <c r="C138" s="84" t="s">
        <v>958</v>
      </c>
      <c r="D138" s="84" t="s">
        <v>1987</v>
      </c>
      <c r="E138" s="84" t="s">
        <v>955</v>
      </c>
      <c r="F138" s="84" t="s">
        <v>1901</v>
      </c>
    </row>
    <row r="139" spans="1:6" hidden="1" x14ac:dyDescent="0.25">
      <c r="A139" s="85" t="s">
        <v>1988</v>
      </c>
      <c r="B139" s="85" t="s">
        <v>1988</v>
      </c>
      <c r="C139" s="84" t="s">
        <v>958</v>
      </c>
      <c r="D139" s="84" t="s">
        <v>1989</v>
      </c>
      <c r="E139" s="84" t="s">
        <v>955</v>
      </c>
      <c r="F139" s="84" t="s">
        <v>1901</v>
      </c>
    </row>
    <row r="140" spans="1:6" hidden="1" x14ac:dyDescent="0.25">
      <c r="A140" s="85" t="s">
        <v>1990</v>
      </c>
      <c r="B140" s="85" t="s">
        <v>1990</v>
      </c>
      <c r="C140" s="84" t="s">
        <v>958</v>
      </c>
      <c r="D140" s="84" t="s">
        <v>1991</v>
      </c>
      <c r="E140" s="84" t="s">
        <v>955</v>
      </c>
      <c r="F140" s="84" t="s">
        <v>1901</v>
      </c>
    </row>
    <row r="141" spans="1:6" hidden="1" x14ac:dyDescent="0.25">
      <c r="A141" s="85" t="s">
        <v>1992</v>
      </c>
      <c r="B141" s="85" t="s">
        <v>1992</v>
      </c>
      <c r="C141" s="84" t="s">
        <v>958</v>
      </c>
      <c r="D141" s="84" t="s">
        <v>1993</v>
      </c>
      <c r="E141" s="84" t="s">
        <v>955</v>
      </c>
      <c r="F141" s="84" t="s">
        <v>1901</v>
      </c>
    </row>
    <row r="142" spans="1:6" hidden="1" x14ac:dyDescent="0.25">
      <c r="A142" s="85" t="s">
        <v>1994</v>
      </c>
      <c r="B142" s="85" t="s">
        <v>1994</v>
      </c>
      <c r="C142" s="84" t="s">
        <v>958</v>
      </c>
      <c r="D142" s="84" t="s">
        <v>1995</v>
      </c>
      <c r="E142" s="84" t="s">
        <v>955</v>
      </c>
      <c r="F142" s="84" t="s">
        <v>1901</v>
      </c>
    </row>
    <row r="143" spans="1:6" hidden="1" x14ac:dyDescent="0.25">
      <c r="A143" s="85" t="s">
        <v>1996</v>
      </c>
      <c r="B143" s="85" t="s">
        <v>1996</v>
      </c>
      <c r="C143" s="84" t="s">
        <v>958</v>
      </c>
      <c r="D143" s="84" t="s">
        <v>1997</v>
      </c>
      <c r="E143" s="84" t="s">
        <v>955</v>
      </c>
      <c r="F143" s="84" t="s">
        <v>1901</v>
      </c>
    </row>
    <row r="144" spans="1:6" hidden="1" x14ac:dyDescent="0.25">
      <c r="A144" s="85" t="s">
        <v>1998</v>
      </c>
      <c r="B144" s="85" t="s">
        <v>1998</v>
      </c>
      <c r="C144" s="84" t="s">
        <v>958</v>
      </c>
      <c r="D144" s="84" t="s">
        <v>1999</v>
      </c>
      <c r="E144" s="84" t="s">
        <v>955</v>
      </c>
      <c r="F144" s="84" t="s">
        <v>1901</v>
      </c>
    </row>
    <row r="145" spans="1:6" hidden="1" x14ac:dyDescent="0.25">
      <c r="A145" s="85" t="s">
        <v>2000</v>
      </c>
      <c r="B145" s="85" t="s">
        <v>2000</v>
      </c>
      <c r="C145" s="84" t="s">
        <v>958</v>
      </c>
      <c r="D145" s="84" t="s">
        <v>2001</v>
      </c>
      <c r="E145" s="84" t="s">
        <v>955</v>
      </c>
      <c r="F145" s="84" t="s">
        <v>1901</v>
      </c>
    </row>
    <row r="146" spans="1:6" hidden="1" x14ac:dyDescent="0.25">
      <c r="A146" s="85" t="s">
        <v>2002</v>
      </c>
      <c r="B146" s="85" t="s">
        <v>2002</v>
      </c>
      <c r="C146" s="84" t="s">
        <v>958</v>
      </c>
      <c r="D146" s="84" t="s">
        <v>2003</v>
      </c>
      <c r="E146" s="84" t="s">
        <v>955</v>
      </c>
      <c r="F146" s="84" t="s">
        <v>1901</v>
      </c>
    </row>
    <row r="147" spans="1:6" hidden="1" x14ac:dyDescent="0.25">
      <c r="A147" s="85" t="s">
        <v>2004</v>
      </c>
      <c r="B147" s="85" t="s">
        <v>2004</v>
      </c>
      <c r="C147" s="84" t="s">
        <v>958</v>
      </c>
      <c r="D147" s="84" t="s">
        <v>2005</v>
      </c>
      <c r="E147" s="84" t="s">
        <v>955</v>
      </c>
      <c r="F147" s="84" t="s">
        <v>1901</v>
      </c>
    </row>
    <row r="148" spans="1:6" hidden="1" x14ac:dyDescent="0.25">
      <c r="A148" s="85" t="s">
        <v>2006</v>
      </c>
      <c r="B148" s="85" t="s">
        <v>2006</v>
      </c>
      <c r="C148" s="84" t="s">
        <v>958</v>
      </c>
      <c r="D148" s="84" t="s">
        <v>2007</v>
      </c>
      <c r="E148" s="84" t="s">
        <v>955</v>
      </c>
      <c r="F148" s="84" t="s">
        <v>1901</v>
      </c>
    </row>
    <row r="149" spans="1:6" hidden="1" x14ac:dyDescent="0.25">
      <c r="A149" s="85" t="s">
        <v>2008</v>
      </c>
      <c r="B149" s="85" t="s">
        <v>2008</v>
      </c>
      <c r="C149" s="84" t="s">
        <v>958</v>
      </c>
      <c r="D149" s="84" t="s">
        <v>2009</v>
      </c>
      <c r="E149" s="84" t="s">
        <v>955</v>
      </c>
      <c r="F149" s="84" t="s">
        <v>1901</v>
      </c>
    </row>
    <row r="150" spans="1:6" hidden="1" x14ac:dyDescent="0.25">
      <c r="A150" s="85" t="s">
        <v>2010</v>
      </c>
      <c r="B150" s="85" t="s">
        <v>2010</v>
      </c>
      <c r="C150" s="84" t="s">
        <v>958</v>
      </c>
      <c r="D150" s="84" t="s">
        <v>2011</v>
      </c>
      <c r="E150" s="84" t="s">
        <v>955</v>
      </c>
      <c r="F150" s="84" t="s">
        <v>1901</v>
      </c>
    </row>
    <row r="151" spans="1:6" hidden="1" x14ac:dyDescent="0.25">
      <c r="A151" s="85" t="s">
        <v>2012</v>
      </c>
      <c r="B151" s="85" t="s">
        <v>2012</v>
      </c>
      <c r="C151" s="84" t="s">
        <v>958</v>
      </c>
      <c r="D151" s="84" t="s">
        <v>2013</v>
      </c>
      <c r="E151" s="84" t="s">
        <v>955</v>
      </c>
      <c r="F151" s="84" t="s">
        <v>1901</v>
      </c>
    </row>
    <row r="152" spans="1:6" hidden="1" x14ac:dyDescent="0.25">
      <c r="A152" s="85" t="s">
        <v>2014</v>
      </c>
      <c r="B152" s="85" t="s">
        <v>2014</v>
      </c>
      <c r="C152" s="84" t="s">
        <v>958</v>
      </c>
      <c r="D152" s="84" t="s">
        <v>2015</v>
      </c>
      <c r="E152" s="84" t="s">
        <v>955</v>
      </c>
      <c r="F152" s="84" t="s">
        <v>1901</v>
      </c>
    </row>
    <row r="153" spans="1:6" hidden="1" x14ac:dyDescent="0.25">
      <c r="A153" s="85" t="s">
        <v>2016</v>
      </c>
      <c r="B153" s="85" t="s">
        <v>2016</v>
      </c>
      <c r="C153" s="84" t="s">
        <v>958</v>
      </c>
      <c r="D153" s="84" t="s">
        <v>2017</v>
      </c>
      <c r="E153" s="84" t="s">
        <v>955</v>
      </c>
      <c r="F153" s="84" t="s">
        <v>1901</v>
      </c>
    </row>
    <row r="154" spans="1:6" hidden="1" x14ac:dyDescent="0.25">
      <c r="A154" s="85" t="s">
        <v>2018</v>
      </c>
      <c r="B154" s="85" t="s">
        <v>2018</v>
      </c>
      <c r="C154" s="84" t="s">
        <v>958</v>
      </c>
      <c r="D154" s="84" t="s">
        <v>2019</v>
      </c>
      <c r="E154" s="84" t="s">
        <v>955</v>
      </c>
      <c r="F154" s="84" t="s">
        <v>1901</v>
      </c>
    </row>
    <row r="155" spans="1:6" hidden="1" x14ac:dyDescent="0.25">
      <c r="A155" s="85" t="s">
        <v>2020</v>
      </c>
      <c r="B155" s="85" t="s">
        <v>2020</v>
      </c>
      <c r="C155" s="84" t="s">
        <v>958</v>
      </c>
      <c r="D155" s="84" t="s">
        <v>2021</v>
      </c>
      <c r="E155" s="84" t="s">
        <v>955</v>
      </c>
      <c r="F155" s="84" t="s">
        <v>1901</v>
      </c>
    </row>
    <row r="156" spans="1:6" hidden="1" x14ac:dyDescent="0.25">
      <c r="A156" s="85" t="s">
        <v>2022</v>
      </c>
      <c r="B156" s="85" t="s">
        <v>2022</v>
      </c>
      <c r="C156" s="84" t="s">
        <v>958</v>
      </c>
      <c r="D156" s="84" t="s">
        <v>2023</v>
      </c>
      <c r="E156" s="84" t="s">
        <v>955</v>
      </c>
      <c r="F156" s="84" t="s">
        <v>1901</v>
      </c>
    </row>
    <row r="157" spans="1:6" hidden="1" x14ac:dyDescent="0.25">
      <c r="A157" s="85" t="s">
        <v>2024</v>
      </c>
      <c r="B157" s="85" t="s">
        <v>2024</v>
      </c>
      <c r="C157" s="84" t="s">
        <v>958</v>
      </c>
      <c r="D157" s="84" t="s">
        <v>2025</v>
      </c>
      <c r="E157" s="84" t="s">
        <v>955</v>
      </c>
      <c r="F157" s="84" t="s">
        <v>1901</v>
      </c>
    </row>
    <row r="158" spans="1:6" hidden="1" x14ac:dyDescent="0.25">
      <c r="A158" s="85" t="s">
        <v>2026</v>
      </c>
      <c r="B158" s="85" t="s">
        <v>2026</v>
      </c>
      <c r="C158" s="84" t="s">
        <v>958</v>
      </c>
      <c r="D158" s="84" t="s">
        <v>2027</v>
      </c>
      <c r="E158" s="84" t="s">
        <v>955</v>
      </c>
      <c r="F158" s="84" t="s">
        <v>1901</v>
      </c>
    </row>
    <row r="159" spans="1:6" hidden="1" x14ac:dyDescent="0.25">
      <c r="A159" s="85" t="s">
        <v>2028</v>
      </c>
      <c r="B159" s="85" t="s">
        <v>2028</v>
      </c>
      <c r="C159" s="84" t="s">
        <v>958</v>
      </c>
      <c r="D159" s="84" t="s">
        <v>2029</v>
      </c>
      <c r="E159" s="84" t="s">
        <v>955</v>
      </c>
      <c r="F159" s="84" t="s">
        <v>1901</v>
      </c>
    </row>
    <row r="160" spans="1:6" hidden="1" x14ac:dyDescent="0.25">
      <c r="A160" s="85" t="s">
        <v>2030</v>
      </c>
      <c r="B160" s="85" t="s">
        <v>2030</v>
      </c>
      <c r="C160" s="84" t="s">
        <v>958</v>
      </c>
      <c r="D160" s="84" t="s">
        <v>2031</v>
      </c>
      <c r="E160" s="84" t="s">
        <v>955</v>
      </c>
      <c r="F160" s="84" t="s">
        <v>1901</v>
      </c>
    </row>
    <row r="161" spans="1:6" hidden="1" x14ac:dyDescent="0.25">
      <c r="A161" s="85" t="s">
        <v>2032</v>
      </c>
      <c r="B161" s="85" t="s">
        <v>2032</v>
      </c>
      <c r="C161" s="84" t="s">
        <v>958</v>
      </c>
      <c r="D161" s="84" t="s">
        <v>2033</v>
      </c>
      <c r="E161" s="84" t="s">
        <v>955</v>
      </c>
      <c r="F161" s="84" t="s">
        <v>1901</v>
      </c>
    </row>
    <row r="162" spans="1:6" hidden="1" x14ac:dyDescent="0.25">
      <c r="A162" s="85" t="s">
        <v>2034</v>
      </c>
      <c r="B162" s="85" t="s">
        <v>2034</v>
      </c>
      <c r="C162" s="84" t="s">
        <v>958</v>
      </c>
      <c r="D162" s="84" t="s">
        <v>2035</v>
      </c>
      <c r="E162" s="84" t="s">
        <v>955</v>
      </c>
      <c r="F162" s="84" t="s">
        <v>1901</v>
      </c>
    </row>
    <row r="163" spans="1:6" hidden="1" x14ac:dyDescent="0.25">
      <c r="A163" s="85" t="s">
        <v>2036</v>
      </c>
      <c r="B163" s="85" t="s">
        <v>2036</v>
      </c>
      <c r="C163" s="84" t="s">
        <v>958</v>
      </c>
      <c r="D163" s="84" t="s">
        <v>2037</v>
      </c>
      <c r="E163" s="84" t="s">
        <v>955</v>
      </c>
      <c r="F163" s="84" t="s">
        <v>1901</v>
      </c>
    </row>
    <row r="164" spans="1:6" hidden="1" x14ac:dyDescent="0.25">
      <c r="A164" s="85" t="s">
        <v>2038</v>
      </c>
      <c r="B164" s="85" t="s">
        <v>2038</v>
      </c>
      <c r="C164" s="84" t="s">
        <v>958</v>
      </c>
      <c r="D164" s="84" t="s">
        <v>2039</v>
      </c>
      <c r="E164" s="84" t="s">
        <v>955</v>
      </c>
      <c r="F164" s="84" t="s">
        <v>1901</v>
      </c>
    </row>
    <row r="165" spans="1:6" hidden="1" x14ac:dyDescent="0.25">
      <c r="A165" s="85" t="s">
        <v>2040</v>
      </c>
      <c r="B165" s="85" t="s">
        <v>2040</v>
      </c>
      <c r="C165" s="84" t="s">
        <v>958</v>
      </c>
      <c r="D165" s="84" t="s">
        <v>2041</v>
      </c>
      <c r="E165" s="84" t="s">
        <v>955</v>
      </c>
      <c r="F165" s="84" t="s">
        <v>1901</v>
      </c>
    </row>
    <row r="166" spans="1:6" hidden="1" x14ac:dyDescent="0.25">
      <c r="A166" s="85" t="s">
        <v>2042</v>
      </c>
      <c r="B166" s="85" t="s">
        <v>2042</v>
      </c>
      <c r="C166" s="84" t="s">
        <v>958</v>
      </c>
      <c r="D166" s="84" t="s">
        <v>2043</v>
      </c>
      <c r="E166" s="84" t="s">
        <v>955</v>
      </c>
      <c r="F166" s="84" t="s">
        <v>1901</v>
      </c>
    </row>
    <row r="167" spans="1:6" hidden="1" x14ac:dyDescent="0.25">
      <c r="A167" s="85" t="s">
        <v>299</v>
      </c>
      <c r="B167" s="85" t="s">
        <v>299</v>
      </c>
      <c r="C167" s="84" t="s">
        <v>958</v>
      </c>
      <c r="D167" s="84" t="s">
        <v>300</v>
      </c>
      <c r="E167" s="84" t="s">
        <v>955</v>
      </c>
      <c r="F167" s="84" t="s">
        <v>1901</v>
      </c>
    </row>
    <row r="168" spans="1:6" hidden="1" x14ac:dyDescent="0.25">
      <c r="A168" s="85" t="s">
        <v>2044</v>
      </c>
      <c r="B168" s="85" t="s">
        <v>2044</v>
      </c>
      <c r="C168" s="84" t="s">
        <v>958</v>
      </c>
      <c r="D168" s="84" t="s">
        <v>2045</v>
      </c>
      <c r="E168" s="84" t="s">
        <v>955</v>
      </c>
      <c r="F168" s="84" t="s">
        <v>1901</v>
      </c>
    </row>
    <row r="169" spans="1:6" hidden="1" x14ac:dyDescent="0.25">
      <c r="A169" s="85" t="s">
        <v>301</v>
      </c>
      <c r="B169" s="85" t="s">
        <v>301</v>
      </c>
      <c r="C169" s="84" t="s">
        <v>958</v>
      </c>
      <c r="D169" s="84" t="s">
        <v>302</v>
      </c>
      <c r="E169" s="84" t="s">
        <v>955</v>
      </c>
      <c r="F169" s="84" t="s">
        <v>1901</v>
      </c>
    </row>
    <row r="170" spans="1:6" hidden="1" x14ac:dyDescent="0.25">
      <c r="A170" s="85" t="s">
        <v>1709</v>
      </c>
      <c r="B170" s="85" t="s">
        <v>1709</v>
      </c>
      <c r="C170" s="84" t="s">
        <v>958</v>
      </c>
      <c r="D170" s="84" t="s">
        <v>2046</v>
      </c>
      <c r="E170" s="84" t="s">
        <v>955</v>
      </c>
      <c r="F170" s="84" t="s">
        <v>1901</v>
      </c>
    </row>
    <row r="171" spans="1:6" hidden="1" x14ac:dyDescent="0.25">
      <c r="A171" s="85" t="s">
        <v>2047</v>
      </c>
      <c r="B171" s="85" t="s">
        <v>2047</v>
      </c>
      <c r="C171" s="84" t="s">
        <v>958</v>
      </c>
      <c r="D171" s="84" t="s">
        <v>2048</v>
      </c>
      <c r="E171" s="84" t="s">
        <v>955</v>
      </c>
      <c r="F171" s="84" t="s">
        <v>1901</v>
      </c>
    </row>
    <row r="172" spans="1:6" hidden="1" x14ac:dyDescent="0.25">
      <c r="A172" s="85" t="s">
        <v>2049</v>
      </c>
      <c r="B172" s="85" t="s">
        <v>2049</v>
      </c>
      <c r="C172" s="84" t="s">
        <v>958</v>
      </c>
      <c r="D172" s="84" t="s">
        <v>2050</v>
      </c>
      <c r="E172" s="84" t="s">
        <v>955</v>
      </c>
      <c r="F172" s="84" t="s">
        <v>1901</v>
      </c>
    </row>
    <row r="173" spans="1:6" hidden="1" x14ac:dyDescent="0.25">
      <c r="A173" s="85" t="s">
        <v>305</v>
      </c>
      <c r="B173" s="85" t="s">
        <v>305</v>
      </c>
      <c r="C173" s="84" t="s">
        <v>958</v>
      </c>
      <c r="D173" s="84" t="s">
        <v>2051</v>
      </c>
      <c r="E173" s="84" t="s">
        <v>955</v>
      </c>
      <c r="F173" s="84" t="s">
        <v>1901</v>
      </c>
    </row>
    <row r="174" spans="1:6" hidden="1" x14ac:dyDescent="0.25">
      <c r="A174" s="85" t="s">
        <v>303</v>
      </c>
      <c r="B174" s="85" t="s">
        <v>303</v>
      </c>
      <c r="C174" s="84" t="s">
        <v>958</v>
      </c>
      <c r="D174" s="84" t="s">
        <v>304</v>
      </c>
      <c r="E174" s="84" t="s">
        <v>955</v>
      </c>
      <c r="F174" s="84" t="s">
        <v>1901</v>
      </c>
    </row>
    <row r="175" spans="1:6" hidden="1" x14ac:dyDescent="0.25">
      <c r="A175" s="85" t="s">
        <v>2052</v>
      </c>
      <c r="B175" s="85" t="s">
        <v>2052</v>
      </c>
      <c r="C175" s="84" t="s">
        <v>958</v>
      </c>
      <c r="D175" s="84" t="s">
        <v>2053</v>
      </c>
      <c r="E175" s="84" t="s">
        <v>955</v>
      </c>
      <c r="F175" s="84" t="s">
        <v>1901</v>
      </c>
    </row>
    <row r="176" spans="1:6" hidden="1" x14ac:dyDescent="0.25">
      <c r="A176" s="85" t="s">
        <v>2054</v>
      </c>
      <c r="B176" s="85" t="s">
        <v>2054</v>
      </c>
      <c r="C176" s="84" t="s">
        <v>958</v>
      </c>
      <c r="D176" s="84" t="s">
        <v>2055</v>
      </c>
      <c r="E176" s="84" t="s">
        <v>955</v>
      </c>
      <c r="F176" s="84" t="s">
        <v>1901</v>
      </c>
    </row>
    <row r="177" spans="1:6" hidden="1" x14ac:dyDescent="0.25">
      <c r="A177" s="85" t="s">
        <v>2056</v>
      </c>
      <c r="B177" s="85" t="s">
        <v>2056</v>
      </c>
      <c r="C177" s="84" t="s">
        <v>958</v>
      </c>
      <c r="D177" s="84" t="s">
        <v>2057</v>
      </c>
      <c r="E177" s="84" t="s">
        <v>955</v>
      </c>
      <c r="F177" s="84" t="s">
        <v>1901</v>
      </c>
    </row>
    <row r="178" spans="1:6" hidden="1" x14ac:dyDescent="0.25">
      <c r="A178" s="85" t="s">
        <v>2058</v>
      </c>
      <c r="B178" s="85" t="s">
        <v>2058</v>
      </c>
      <c r="C178" s="84" t="s">
        <v>958</v>
      </c>
      <c r="D178" s="84" t="s">
        <v>2059</v>
      </c>
      <c r="E178" s="84" t="s">
        <v>955</v>
      </c>
      <c r="F178" s="84" t="s">
        <v>1901</v>
      </c>
    </row>
    <row r="179" spans="1:6" hidden="1" x14ac:dyDescent="0.25">
      <c r="A179" s="85" t="s">
        <v>2060</v>
      </c>
      <c r="B179" s="85" t="s">
        <v>2060</v>
      </c>
      <c r="C179" s="84" t="s">
        <v>958</v>
      </c>
      <c r="D179" s="84" t="s">
        <v>2061</v>
      </c>
      <c r="E179" s="84" t="s">
        <v>955</v>
      </c>
      <c r="F179" s="84" t="s">
        <v>1901</v>
      </c>
    </row>
    <row r="180" spans="1:6" hidden="1" x14ac:dyDescent="0.25">
      <c r="A180" s="85" t="s">
        <v>2062</v>
      </c>
      <c r="B180" s="85" t="s">
        <v>2062</v>
      </c>
      <c r="C180" s="84" t="s">
        <v>958</v>
      </c>
      <c r="D180" s="84" t="s">
        <v>2063</v>
      </c>
      <c r="E180" s="84" t="s">
        <v>955</v>
      </c>
      <c r="F180" s="84" t="s">
        <v>1901</v>
      </c>
    </row>
    <row r="181" spans="1:6" hidden="1" x14ac:dyDescent="0.25">
      <c r="A181" s="85" t="s">
        <v>2064</v>
      </c>
      <c r="B181" s="85" t="s">
        <v>2064</v>
      </c>
      <c r="C181" s="84" t="s">
        <v>958</v>
      </c>
      <c r="D181" s="84" t="s">
        <v>2065</v>
      </c>
      <c r="E181" s="84" t="s">
        <v>955</v>
      </c>
      <c r="F181" s="84" t="s">
        <v>1901</v>
      </c>
    </row>
    <row r="182" spans="1:6" hidden="1" x14ac:dyDescent="0.25">
      <c r="A182" s="85" t="s">
        <v>2066</v>
      </c>
      <c r="B182" s="85" t="s">
        <v>2066</v>
      </c>
      <c r="C182" s="84" t="s">
        <v>958</v>
      </c>
      <c r="D182" s="84" t="s">
        <v>2067</v>
      </c>
      <c r="E182" s="84" t="s">
        <v>955</v>
      </c>
      <c r="F182" s="84" t="s">
        <v>1901</v>
      </c>
    </row>
    <row r="183" spans="1:6" hidden="1" x14ac:dyDescent="0.25">
      <c r="A183" s="85" t="s">
        <v>2068</v>
      </c>
      <c r="B183" s="85" t="s">
        <v>2068</v>
      </c>
      <c r="C183" s="84" t="s">
        <v>958</v>
      </c>
      <c r="D183" s="84" t="s">
        <v>2069</v>
      </c>
      <c r="E183" s="84" t="s">
        <v>955</v>
      </c>
      <c r="F183" s="84" t="s">
        <v>1901</v>
      </c>
    </row>
    <row r="184" spans="1:6" hidden="1" x14ac:dyDescent="0.25">
      <c r="A184" s="85" t="s">
        <v>2070</v>
      </c>
      <c r="B184" s="85" t="s">
        <v>2070</v>
      </c>
      <c r="C184" s="84" t="s">
        <v>958</v>
      </c>
      <c r="D184" s="84" t="s">
        <v>2071</v>
      </c>
      <c r="E184" s="84" t="s">
        <v>955</v>
      </c>
      <c r="F184" s="84" t="s">
        <v>1901</v>
      </c>
    </row>
    <row r="185" spans="1:6" hidden="1" x14ac:dyDescent="0.25">
      <c r="A185" s="85" t="s">
        <v>2072</v>
      </c>
      <c r="B185" s="85" t="s">
        <v>2072</v>
      </c>
      <c r="C185" s="84" t="s">
        <v>958</v>
      </c>
      <c r="D185" s="84" t="s">
        <v>2073</v>
      </c>
      <c r="E185" s="84" t="s">
        <v>955</v>
      </c>
      <c r="F185" s="84" t="s">
        <v>1901</v>
      </c>
    </row>
    <row r="186" spans="1:6" hidden="1" x14ac:dyDescent="0.25">
      <c r="A186" s="85" t="s">
        <v>2074</v>
      </c>
      <c r="B186" s="85" t="s">
        <v>2074</v>
      </c>
      <c r="C186" s="84" t="s">
        <v>958</v>
      </c>
      <c r="D186" s="84" t="s">
        <v>2075</v>
      </c>
      <c r="E186" s="84" t="s">
        <v>955</v>
      </c>
      <c r="F186" s="84" t="s">
        <v>1901</v>
      </c>
    </row>
    <row r="187" spans="1:6" hidden="1" x14ac:dyDescent="0.25">
      <c r="A187" s="85" t="s">
        <v>2076</v>
      </c>
      <c r="B187" s="85" t="s">
        <v>2076</v>
      </c>
      <c r="C187" s="84" t="s">
        <v>958</v>
      </c>
      <c r="D187" s="84" t="s">
        <v>2077</v>
      </c>
      <c r="E187" s="84" t="s">
        <v>955</v>
      </c>
      <c r="F187" s="84" t="s">
        <v>1901</v>
      </c>
    </row>
    <row r="188" spans="1:6" hidden="1" x14ac:dyDescent="0.25">
      <c r="A188" s="85" t="s">
        <v>2078</v>
      </c>
      <c r="B188" s="85" t="s">
        <v>2078</v>
      </c>
      <c r="C188" s="84" t="s">
        <v>958</v>
      </c>
      <c r="D188" s="84" t="s">
        <v>2079</v>
      </c>
      <c r="E188" s="84" t="s">
        <v>955</v>
      </c>
      <c r="F188" s="84" t="s">
        <v>1901</v>
      </c>
    </row>
    <row r="189" spans="1:6" hidden="1" x14ac:dyDescent="0.25">
      <c r="A189" s="85" t="s">
        <v>2080</v>
      </c>
      <c r="B189" s="85" t="s">
        <v>2080</v>
      </c>
      <c r="C189" s="84" t="s">
        <v>958</v>
      </c>
      <c r="D189" s="84" t="s">
        <v>2081</v>
      </c>
      <c r="E189" s="84" t="s">
        <v>955</v>
      </c>
      <c r="F189" s="84" t="s">
        <v>1901</v>
      </c>
    </row>
    <row r="190" spans="1:6" hidden="1" x14ac:dyDescent="0.25">
      <c r="A190" s="85" t="s">
        <v>2082</v>
      </c>
      <c r="B190" s="85" t="s">
        <v>2082</v>
      </c>
      <c r="C190" s="84" t="s">
        <v>958</v>
      </c>
      <c r="D190" s="84" t="s">
        <v>2083</v>
      </c>
      <c r="E190" s="84" t="s">
        <v>955</v>
      </c>
      <c r="F190" s="84" t="s">
        <v>1901</v>
      </c>
    </row>
    <row r="191" spans="1:6" hidden="1" x14ac:dyDescent="0.25">
      <c r="A191" s="85" t="s">
        <v>2084</v>
      </c>
      <c r="B191" s="85" t="s">
        <v>2084</v>
      </c>
      <c r="C191" s="84" t="s">
        <v>958</v>
      </c>
      <c r="D191" s="84" t="s">
        <v>2085</v>
      </c>
      <c r="E191" s="84" t="s">
        <v>955</v>
      </c>
      <c r="F191" s="84" t="s">
        <v>1901</v>
      </c>
    </row>
    <row r="192" spans="1:6" hidden="1" x14ac:dyDescent="0.25">
      <c r="A192" s="85" t="s">
        <v>2086</v>
      </c>
      <c r="B192" s="85" t="s">
        <v>2086</v>
      </c>
      <c r="C192" s="84" t="s">
        <v>958</v>
      </c>
      <c r="D192" s="84" t="s">
        <v>2087</v>
      </c>
      <c r="E192" s="84" t="s">
        <v>955</v>
      </c>
      <c r="F192" s="84" t="s">
        <v>1901</v>
      </c>
    </row>
    <row r="193" spans="1:6" hidden="1" x14ac:dyDescent="0.25">
      <c r="A193" s="85" t="s">
        <v>1706</v>
      </c>
      <c r="B193" s="85" t="s">
        <v>1706</v>
      </c>
      <c r="C193" s="84" t="s">
        <v>958</v>
      </c>
      <c r="D193" s="84" t="s">
        <v>2088</v>
      </c>
      <c r="E193" s="84" t="s">
        <v>955</v>
      </c>
      <c r="F193" s="84" t="s">
        <v>1901</v>
      </c>
    </row>
    <row r="194" spans="1:6" hidden="1" x14ac:dyDescent="0.25">
      <c r="A194" s="85" t="s">
        <v>2089</v>
      </c>
      <c r="B194" s="85" t="s">
        <v>2089</v>
      </c>
      <c r="C194" s="84" t="s">
        <v>958</v>
      </c>
      <c r="D194" s="84" t="s">
        <v>2090</v>
      </c>
      <c r="E194" s="84" t="s">
        <v>955</v>
      </c>
      <c r="F194" s="84" t="s">
        <v>1901</v>
      </c>
    </row>
    <row r="195" spans="1:6" hidden="1" x14ac:dyDescent="0.25">
      <c r="A195" s="85" t="s">
        <v>2091</v>
      </c>
      <c r="B195" s="85" t="s">
        <v>2091</v>
      </c>
      <c r="C195" s="84" t="s">
        <v>958</v>
      </c>
      <c r="D195" s="84" t="s">
        <v>2092</v>
      </c>
      <c r="E195" s="84" t="s">
        <v>955</v>
      </c>
      <c r="F195" s="84" t="s">
        <v>1901</v>
      </c>
    </row>
    <row r="196" spans="1:6" hidden="1" x14ac:dyDescent="0.25">
      <c r="A196" s="85" t="s">
        <v>2093</v>
      </c>
      <c r="B196" s="85" t="s">
        <v>2093</v>
      </c>
      <c r="C196" s="84" t="s">
        <v>958</v>
      </c>
      <c r="D196" s="84" t="s">
        <v>2094</v>
      </c>
      <c r="E196" s="84" t="s">
        <v>955</v>
      </c>
      <c r="F196" s="84" t="s">
        <v>1901</v>
      </c>
    </row>
    <row r="197" spans="1:6" hidden="1" x14ac:dyDescent="0.25">
      <c r="A197" s="85" t="s">
        <v>2095</v>
      </c>
      <c r="B197" s="85" t="s">
        <v>2095</v>
      </c>
      <c r="C197" s="84" t="s">
        <v>958</v>
      </c>
      <c r="D197" s="84" t="s">
        <v>2096</v>
      </c>
      <c r="E197" s="84" t="s">
        <v>955</v>
      </c>
      <c r="F197" s="84" t="s">
        <v>1901</v>
      </c>
    </row>
    <row r="198" spans="1:6" hidden="1" x14ac:dyDescent="0.25">
      <c r="A198" s="85" t="s">
        <v>2097</v>
      </c>
      <c r="B198" s="85" t="s">
        <v>2097</v>
      </c>
      <c r="C198" s="84" t="s">
        <v>958</v>
      </c>
      <c r="D198" s="84" t="s">
        <v>2098</v>
      </c>
      <c r="E198" s="84" t="s">
        <v>955</v>
      </c>
      <c r="F198" s="84" t="s">
        <v>1901</v>
      </c>
    </row>
    <row r="199" spans="1:6" hidden="1" x14ac:dyDescent="0.25">
      <c r="A199" s="85" t="s">
        <v>2099</v>
      </c>
      <c r="B199" s="85" t="s">
        <v>2099</v>
      </c>
      <c r="C199" s="84" t="s">
        <v>958</v>
      </c>
      <c r="D199" s="84" t="s">
        <v>2100</v>
      </c>
      <c r="E199" s="84" t="s">
        <v>955</v>
      </c>
      <c r="F199" s="84" t="s">
        <v>1901</v>
      </c>
    </row>
    <row r="200" spans="1:6" hidden="1" x14ac:dyDescent="0.25">
      <c r="A200" s="85" t="s">
        <v>2101</v>
      </c>
      <c r="B200" s="85" t="s">
        <v>2101</v>
      </c>
      <c r="C200" s="84" t="s">
        <v>958</v>
      </c>
      <c r="D200" s="84" t="s">
        <v>2102</v>
      </c>
      <c r="E200" s="84" t="s">
        <v>955</v>
      </c>
      <c r="F200" s="84" t="s">
        <v>1901</v>
      </c>
    </row>
    <row r="201" spans="1:6" hidden="1" x14ac:dyDescent="0.25">
      <c r="A201" s="85" t="s">
        <v>2103</v>
      </c>
      <c r="B201" s="85" t="s">
        <v>2103</v>
      </c>
      <c r="C201" s="84" t="s">
        <v>958</v>
      </c>
      <c r="D201" s="84" t="s">
        <v>2104</v>
      </c>
      <c r="E201" s="84" t="s">
        <v>955</v>
      </c>
      <c r="F201" s="84" t="s">
        <v>1901</v>
      </c>
    </row>
    <row r="202" spans="1:6" hidden="1" x14ac:dyDescent="0.25">
      <c r="A202" s="85" t="s">
        <v>2105</v>
      </c>
      <c r="B202" s="85" t="s">
        <v>2105</v>
      </c>
      <c r="C202" s="84" t="s">
        <v>958</v>
      </c>
      <c r="D202" s="84" t="s">
        <v>2106</v>
      </c>
      <c r="E202" s="84" t="s">
        <v>955</v>
      </c>
      <c r="F202" s="84" t="s">
        <v>1901</v>
      </c>
    </row>
    <row r="203" spans="1:6" hidden="1" x14ac:dyDescent="0.25">
      <c r="A203" s="85" t="s">
        <v>769</v>
      </c>
      <c r="B203" s="85" t="s">
        <v>769</v>
      </c>
      <c r="C203" s="84" t="s">
        <v>958</v>
      </c>
      <c r="D203" s="84" t="s">
        <v>770</v>
      </c>
      <c r="E203" s="84" t="s">
        <v>955</v>
      </c>
      <c r="F203" s="84" t="s">
        <v>1901</v>
      </c>
    </row>
    <row r="204" spans="1:6" hidden="1" x14ac:dyDescent="0.25">
      <c r="A204" s="85" t="s">
        <v>2107</v>
      </c>
      <c r="B204" s="85" t="s">
        <v>2107</v>
      </c>
      <c r="C204" s="84" t="s">
        <v>958</v>
      </c>
      <c r="D204" s="84" t="s">
        <v>2108</v>
      </c>
      <c r="E204" s="84" t="s">
        <v>955</v>
      </c>
      <c r="F204" s="84" t="s">
        <v>1901</v>
      </c>
    </row>
    <row r="205" spans="1:6" hidden="1" x14ac:dyDescent="0.25">
      <c r="A205" s="85" t="s">
        <v>307</v>
      </c>
      <c r="B205" s="85" t="s">
        <v>307</v>
      </c>
      <c r="C205" s="84" t="s">
        <v>958</v>
      </c>
      <c r="D205" s="84" t="s">
        <v>308</v>
      </c>
      <c r="E205" s="84" t="s">
        <v>955</v>
      </c>
      <c r="F205" s="84" t="s">
        <v>1901</v>
      </c>
    </row>
    <row r="206" spans="1:6" hidden="1" x14ac:dyDescent="0.25">
      <c r="A206" s="85" t="s">
        <v>2109</v>
      </c>
      <c r="B206" s="85" t="s">
        <v>2109</v>
      </c>
      <c r="C206" s="84" t="s">
        <v>958</v>
      </c>
      <c r="D206" s="84" t="s">
        <v>2110</v>
      </c>
      <c r="E206" s="84" t="s">
        <v>955</v>
      </c>
      <c r="F206" s="84" t="s">
        <v>1901</v>
      </c>
    </row>
    <row r="207" spans="1:6" hidden="1" x14ac:dyDescent="0.25">
      <c r="A207" s="85" t="s">
        <v>2111</v>
      </c>
      <c r="B207" s="85" t="s">
        <v>2111</v>
      </c>
      <c r="C207" s="84" t="s">
        <v>958</v>
      </c>
      <c r="D207" s="84" t="s">
        <v>2112</v>
      </c>
      <c r="E207" s="84" t="s">
        <v>955</v>
      </c>
      <c r="F207" s="84" t="s">
        <v>1901</v>
      </c>
    </row>
    <row r="208" spans="1:6" hidden="1" x14ac:dyDescent="0.25">
      <c r="A208" s="85" t="s">
        <v>2113</v>
      </c>
      <c r="B208" s="85" t="s">
        <v>2113</v>
      </c>
      <c r="C208" s="84" t="s">
        <v>958</v>
      </c>
      <c r="D208" s="84" t="s">
        <v>2114</v>
      </c>
      <c r="E208" s="84" t="s">
        <v>955</v>
      </c>
      <c r="F208" s="84" t="s">
        <v>1901</v>
      </c>
    </row>
    <row r="209" spans="1:6" hidden="1" x14ac:dyDescent="0.25">
      <c r="A209" s="85" t="s">
        <v>2115</v>
      </c>
      <c r="B209" s="85" t="s">
        <v>2115</v>
      </c>
      <c r="C209" s="84" t="s">
        <v>958</v>
      </c>
      <c r="D209" s="84" t="s">
        <v>2116</v>
      </c>
      <c r="E209" s="84" t="s">
        <v>955</v>
      </c>
      <c r="F209" s="84" t="s">
        <v>1901</v>
      </c>
    </row>
    <row r="210" spans="1:6" hidden="1" x14ac:dyDescent="0.25">
      <c r="A210" s="85" t="s">
        <v>2117</v>
      </c>
      <c r="B210" s="85" t="s">
        <v>2117</v>
      </c>
      <c r="C210" s="84" t="s">
        <v>958</v>
      </c>
      <c r="D210" s="84" t="s">
        <v>2118</v>
      </c>
      <c r="E210" s="84" t="s">
        <v>955</v>
      </c>
      <c r="F210" s="84" t="s">
        <v>1901</v>
      </c>
    </row>
    <row r="211" spans="1:6" hidden="1" x14ac:dyDescent="0.25">
      <c r="A211" s="85" t="s">
        <v>2119</v>
      </c>
      <c r="B211" s="85" t="s">
        <v>2119</v>
      </c>
      <c r="C211" s="84" t="s">
        <v>958</v>
      </c>
      <c r="D211" s="84" t="s">
        <v>2120</v>
      </c>
      <c r="E211" s="84" t="s">
        <v>955</v>
      </c>
      <c r="F211" s="84" t="s">
        <v>1901</v>
      </c>
    </row>
    <row r="212" spans="1:6" hidden="1" x14ac:dyDescent="0.25">
      <c r="A212" s="85" t="s">
        <v>1708</v>
      </c>
      <c r="B212" s="85" t="s">
        <v>1708</v>
      </c>
      <c r="C212" s="84" t="s">
        <v>958</v>
      </c>
      <c r="D212" s="84" t="s">
        <v>2121</v>
      </c>
      <c r="E212" s="84" t="s">
        <v>955</v>
      </c>
      <c r="F212" s="84" t="s">
        <v>1901</v>
      </c>
    </row>
    <row r="213" spans="1:6" hidden="1" x14ac:dyDescent="0.25">
      <c r="A213" s="85" t="s">
        <v>2122</v>
      </c>
      <c r="B213" s="85" t="s">
        <v>2122</v>
      </c>
      <c r="C213" s="84" t="s">
        <v>958</v>
      </c>
      <c r="D213" s="84" t="s">
        <v>2123</v>
      </c>
      <c r="E213" s="84" t="s">
        <v>955</v>
      </c>
      <c r="F213" s="84" t="s">
        <v>1901</v>
      </c>
    </row>
    <row r="214" spans="1:6" hidden="1" x14ac:dyDescent="0.25">
      <c r="A214" s="85" t="s">
        <v>2124</v>
      </c>
      <c r="B214" s="85" t="s">
        <v>2124</v>
      </c>
      <c r="C214" s="84" t="s">
        <v>958</v>
      </c>
      <c r="D214" s="84" t="s">
        <v>2125</v>
      </c>
      <c r="E214" s="84" t="s">
        <v>955</v>
      </c>
      <c r="F214" s="84" t="s">
        <v>1901</v>
      </c>
    </row>
    <row r="215" spans="1:6" hidden="1" x14ac:dyDescent="0.25">
      <c r="A215" s="85" t="s">
        <v>1707</v>
      </c>
      <c r="B215" s="85" t="s">
        <v>1707</v>
      </c>
      <c r="C215" s="84" t="s">
        <v>958</v>
      </c>
      <c r="D215" s="84" t="s">
        <v>2126</v>
      </c>
      <c r="E215" s="84" t="s">
        <v>955</v>
      </c>
      <c r="F215" s="84" t="s">
        <v>1901</v>
      </c>
    </row>
    <row r="216" spans="1:6" hidden="1" x14ac:dyDescent="0.25">
      <c r="A216" s="85" t="s">
        <v>2127</v>
      </c>
      <c r="B216" s="85" t="s">
        <v>2127</v>
      </c>
      <c r="C216" s="84" t="s">
        <v>958</v>
      </c>
      <c r="D216" s="84" t="s">
        <v>2128</v>
      </c>
      <c r="E216" s="84" t="s">
        <v>955</v>
      </c>
      <c r="F216" s="84" t="s">
        <v>1901</v>
      </c>
    </row>
    <row r="217" spans="1:6" hidden="1" x14ac:dyDescent="0.25">
      <c r="A217" s="85" t="s">
        <v>2129</v>
      </c>
      <c r="B217" s="85" t="s">
        <v>2129</v>
      </c>
      <c r="C217" s="84" t="s">
        <v>958</v>
      </c>
      <c r="D217" s="84" t="s">
        <v>2130</v>
      </c>
      <c r="E217" s="84" t="s">
        <v>955</v>
      </c>
      <c r="F217" s="84" t="s">
        <v>1901</v>
      </c>
    </row>
    <row r="218" spans="1:6" hidden="1" x14ac:dyDescent="0.25">
      <c r="A218" s="85" t="s">
        <v>2131</v>
      </c>
      <c r="B218" s="85" t="s">
        <v>2131</v>
      </c>
      <c r="C218" s="84" t="s">
        <v>958</v>
      </c>
      <c r="D218" s="84" t="s">
        <v>2132</v>
      </c>
      <c r="E218" s="84" t="s">
        <v>955</v>
      </c>
      <c r="F218" s="84" t="s">
        <v>1901</v>
      </c>
    </row>
    <row r="219" spans="1:6" hidden="1" x14ac:dyDescent="0.25">
      <c r="A219" s="85" t="s">
        <v>2133</v>
      </c>
      <c r="B219" s="85" t="s">
        <v>2133</v>
      </c>
      <c r="C219" s="84" t="s">
        <v>958</v>
      </c>
      <c r="D219" s="84" t="s">
        <v>2134</v>
      </c>
      <c r="E219" s="84" t="s">
        <v>955</v>
      </c>
      <c r="F219" s="84" t="s">
        <v>1901</v>
      </c>
    </row>
    <row r="220" spans="1:6" hidden="1" x14ac:dyDescent="0.25">
      <c r="A220" s="85" t="s">
        <v>2135</v>
      </c>
      <c r="B220" s="85" t="s">
        <v>2135</v>
      </c>
      <c r="C220" s="84" t="s">
        <v>958</v>
      </c>
      <c r="D220" s="84" t="s">
        <v>2136</v>
      </c>
      <c r="E220" s="84" t="s">
        <v>955</v>
      </c>
      <c r="F220" s="84" t="s">
        <v>1901</v>
      </c>
    </row>
    <row r="221" spans="1:6" hidden="1" x14ac:dyDescent="0.25">
      <c r="A221" s="85" t="s">
        <v>2137</v>
      </c>
      <c r="B221" s="85" t="s">
        <v>2137</v>
      </c>
      <c r="C221" s="84" t="s">
        <v>958</v>
      </c>
      <c r="D221" s="84" t="s">
        <v>2138</v>
      </c>
      <c r="E221" s="84" t="s">
        <v>955</v>
      </c>
      <c r="F221" s="84" t="s">
        <v>1901</v>
      </c>
    </row>
    <row r="222" spans="1:6" hidden="1" x14ac:dyDescent="0.25">
      <c r="A222" s="85" t="s">
        <v>2139</v>
      </c>
      <c r="B222" s="85" t="s">
        <v>2139</v>
      </c>
      <c r="C222" s="84" t="s">
        <v>958</v>
      </c>
      <c r="D222" s="84" t="s">
        <v>2140</v>
      </c>
      <c r="E222" s="84" t="s">
        <v>955</v>
      </c>
      <c r="F222" s="84" t="s">
        <v>1901</v>
      </c>
    </row>
    <row r="223" spans="1:6" hidden="1" x14ac:dyDescent="0.25">
      <c r="A223" s="85" t="s">
        <v>2141</v>
      </c>
      <c r="B223" s="85" t="s">
        <v>2141</v>
      </c>
      <c r="C223" s="84" t="s">
        <v>958</v>
      </c>
      <c r="D223" s="84" t="s">
        <v>2142</v>
      </c>
      <c r="E223" s="84" t="s">
        <v>955</v>
      </c>
      <c r="F223" s="84" t="s">
        <v>1901</v>
      </c>
    </row>
    <row r="224" spans="1:6" hidden="1" x14ac:dyDescent="0.25">
      <c r="A224" s="85" t="s">
        <v>2143</v>
      </c>
      <c r="B224" s="85" t="s">
        <v>2143</v>
      </c>
      <c r="C224" s="84" t="s">
        <v>958</v>
      </c>
      <c r="D224" s="84" t="s">
        <v>2144</v>
      </c>
      <c r="E224" s="84" t="s">
        <v>955</v>
      </c>
      <c r="F224" s="84" t="s">
        <v>1901</v>
      </c>
    </row>
    <row r="225" spans="1:6" hidden="1" x14ac:dyDescent="0.25">
      <c r="A225" s="85" t="s">
        <v>2145</v>
      </c>
      <c r="B225" s="85" t="s">
        <v>2145</v>
      </c>
      <c r="C225" s="84" t="s">
        <v>958</v>
      </c>
      <c r="D225" s="84" t="s">
        <v>2146</v>
      </c>
      <c r="E225" s="84" t="s">
        <v>955</v>
      </c>
      <c r="F225" s="84" t="s">
        <v>1901</v>
      </c>
    </row>
    <row r="226" spans="1:6" hidden="1" x14ac:dyDescent="0.25">
      <c r="A226" s="85" t="s">
        <v>2147</v>
      </c>
      <c r="B226" s="85" t="s">
        <v>2147</v>
      </c>
      <c r="C226" s="84" t="s">
        <v>958</v>
      </c>
      <c r="D226" s="84" t="s">
        <v>2148</v>
      </c>
      <c r="E226" s="84" t="s">
        <v>955</v>
      </c>
      <c r="F226" s="84" t="s">
        <v>1901</v>
      </c>
    </row>
    <row r="227" spans="1:6" hidden="1" x14ac:dyDescent="0.25">
      <c r="A227" s="85" t="s">
        <v>2149</v>
      </c>
      <c r="B227" s="85" t="s">
        <v>2149</v>
      </c>
      <c r="C227" s="84" t="s">
        <v>958</v>
      </c>
      <c r="D227" s="84" t="s">
        <v>2150</v>
      </c>
      <c r="E227" s="84" t="s">
        <v>955</v>
      </c>
      <c r="F227" s="84" t="s">
        <v>1901</v>
      </c>
    </row>
    <row r="228" spans="1:6" hidden="1" x14ac:dyDescent="0.25">
      <c r="A228" s="85" t="s">
        <v>2151</v>
      </c>
      <c r="B228" s="85" t="s">
        <v>2151</v>
      </c>
      <c r="C228" s="84" t="s">
        <v>958</v>
      </c>
      <c r="D228" s="84" t="s">
        <v>2152</v>
      </c>
      <c r="E228" s="84" t="s">
        <v>955</v>
      </c>
      <c r="F228" s="84" t="s">
        <v>1901</v>
      </c>
    </row>
    <row r="229" spans="1:6" hidden="1" x14ac:dyDescent="0.25">
      <c r="A229" s="85" t="s">
        <v>1705</v>
      </c>
      <c r="B229" s="85" t="s">
        <v>1705</v>
      </c>
      <c r="C229" s="84" t="s">
        <v>958</v>
      </c>
      <c r="D229" s="84" t="s">
        <v>2153</v>
      </c>
      <c r="E229" s="84" t="s">
        <v>955</v>
      </c>
      <c r="F229" s="84" t="s">
        <v>1901</v>
      </c>
    </row>
    <row r="230" spans="1:6" hidden="1" x14ac:dyDescent="0.25">
      <c r="A230" s="85" t="s">
        <v>2154</v>
      </c>
      <c r="B230" s="85" t="s">
        <v>2154</v>
      </c>
      <c r="C230" s="84" t="s">
        <v>958</v>
      </c>
      <c r="D230" s="84" t="s">
        <v>2155</v>
      </c>
      <c r="E230" s="84" t="s">
        <v>955</v>
      </c>
      <c r="F230" s="84" t="s">
        <v>1901</v>
      </c>
    </row>
    <row r="231" spans="1:6" hidden="1" x14ac:dyDescent="0.25">
      <c r="A231" s="85" t="s">
        <v>2156</v>
      </c>
      <c r="B231" s="85" t="s">
        <v>2156</v>
      </c>
      <c r="C231" s="84" t="s">
        <v>958</v>
      </c>
      <c r="D231" s="84" t="s">
        <v>2157</v>
      </c>
      <c r="E231" s="84" t="s">
        <v>955</v>
      </c>
      <c r="F231" s="84" t="s">
        <v>1901</v>
      </c>
    </row>
    <row r="232" spans="1:6" hidden="1" x14ac:dyDescent="0.25">
      <c r="A232" s="85" t="s">
        <v>2158</v>
      </c>
      <c r="B232" s="85" t="s">
        <v>2158</v>
      </c>
      <c r="C232" s="84" t="s">
        <v>958</v>
      </c>
      <c r="D232" s="84" t="s">
        <v>2159</v>
      </c>
      <c r="E232" s="84" t="s">
        <v>955</v>
      </c>
      <c r="F232" s="84" t="s">
        <v>1901</v>
      </c>
    </row>
    <row r="233" spans="1:6" hidden="1" x14ac:dyDescent="0.25">
      <c r="A233" s="85" t="s">
        <v>2160</v>
      </c>
      <c r="B233" s="85" t="s">
        <v>2160</v>
      </c>
      <c r="C233" s="84" t="s">
        <v>958</v>
      </c>
      <c r="D233" s="84" t="s">
        <v>2161</v>
      </c>
      <c r="E233" s="84" t="s">
        <v>955</v>
      </c>
      <c r="F233" s="84" t="s">
        <v>1901</v>
      </c>
    </row>
    <row r="234" spans="1:6" hidden="1" x14ac:dyDescent="0.25">
      <c r="A234" s="85" t="s">
        <v>2162</v>
      </c>
      <c r="B234" s="85" t="s">
        <v>2162</v>
      </c>
      <c r="C234" s="84" t="s">
        <v>958</v>
      </c>
      <c r="D234" s="84" t="s">
        <v>2163</v>
      </c>
      <c r="E234" s="84" t="s">
        <v>955</v>
      </c>
      <c r="F234" s="84" t="s">
        <v>1901</v>
      </c>
    </row>
    <row r="235" spans="1:6" hidden="1" x14ac:dyDescent="0.25">
      <c r="A235" s="85" t="s">
        <v>2164</v>
      </c>
      <c r="B235" s="85" t="s">
        <v>2164</v>
      </c>
      <c r="C235" s="84" t="s">
        <v>958</v>
      </c>
      <c r="D235" s="84" t="s">
        <v>2165</v>
      </c>
      <c r="E235" s="84" t="s">
        <v>955</v>
      </c>
      <c r="F235" s="84" t="s">
        <v>1901</v>
      </c>
    </row>
    <row r="236" spans="1:6" hidden="1" x14ac:dyDescent="0.25">
      <c r="A236" s="85" t="s">
        <v>2166</v>
      </c>
      <c r="B236" s="85" t="s">
        <v>2166</v>
      </c>
      <c r="C236" s="84" t="s">
        <v>958</v>
      </c>
      <c r="D236" s="84" t="s">
        <v>2167</v>
      </c>
      <c r="E236" s="84" t="s">
        <v>955</v>
      </c>
      <c r="F236" s="84" t="s">
        <v>1901</v>
      </c>
    </row>
    <row r="237" spans="1:6" hidden="1" x14ac:dyDescent="0.25">
      <c r="A237" s="85" t="s">
        <v>2168</v>
      </c>
      <c r="B237" s="85" t="s">
        <v>2168</v>
      </c>
      <c r="C237" s="84" t="s">
        <v>958</v>
      </c>
      <c r="D237" s="84" t="s">
        <v>2169</v>
      </c>
      <c r="E237" s="84" t="s">
        <v>955</v>
      </c>
      <c r="F237" s="84" t="s">
        <v>1901</v>
      </c>
    </row>
    <row r="238" spans="1:6" hidden="1" x14ac:dyDescent="0.25">
      <c r="A238" s="85" t="s">
        <v>2170</v>
      </c>
      <c r="B238" s="85" t="s">
        <v>2170</v>
      </c>
      <c r="C238" s="84" t="s">
        <v>958</v>
      </c>
      <c r="D238" s="84" t="s">
        <v>2171</v>
      </c>
      <c r="E238" s="84" t="s">
        <v>955</v>
      </c>
      <c r="F238" s="84" t="s">
        <v>1901</v>
      </c>
    </row>
    <row r="239" spans="1:6" hidden="1" x14ac:dyDescent="0.25">
      <c r="A239" s="85" t="s">
        <v>2172</v>
      </c>
      <c r="B239" s="85" t="s">
        <v>2172</v>
      </c>
      <c r="C239" s="84" t="s">
        <v>958</v>
      </c>
      <c r="D239" s="84" t="s">
        <v>2173</v>
      </c>
      <c r="E239" s="84" t="s">
        <v>955</v>
      </c>
      <c r="F239" s="84" t="s">
        <v>1901</v>
      </c>
    </row>
    <row r="240" spans="1:6" hidden="1" x14ac:dyDescent="0.25">
      <c r="A240" s="85" t="s">
        <v>2174</v>
      </c>
      <c r="B240" s="85" t="s">
        <v>2174</v>
      </c>
      <c r="C240" s="84" t="s">
        <v>958</v>
      </c>
      <c r="D240" s="84" t="s">
        <v>2175</v>
      </c>
      <c r="E240" s="84" t="s">
        <v>955</v>
      </c>
      <c r="F240" s="84" t="s">
        <v>1901</v>
      </c>
    </row>
    <row r="241" spans="1:6" hidden="1" x14ac:dyDescent="0.25">
      <c r="A241" s="85" t="s">
        <v>2176</v>
      </c>
      <c r="B241" s="85" t="s">
        <v>2176</v>
      </c>
      <c r="C241" s="84" t="s">
        <v>922</v>
      </c>
      <c r="D241" s="84" t="s">
        <v>2177</v>
      </c>
      <c r="E241" s="84" t="s">
        <v>955</v>
      </c>
      <c r="F241" s="84" t="s">
        <v>964</v>
      </c>
    </row>
    <row r="242" spans="1:6" hidden="1" x14ac:dyDescent="0.25">
      <c r="A242" s="85" t="s">
        <v>2178</v>
      </c>
      <c r="B242" s="85" t="s">
        <v>2179</v>
      </c>
      <c r="C242" s="84" t="s">
        <v>922</v>
      </c>
      <c r="D242" s="84" t="s">
        <v>2180</v>
      </c>
      <c r="E242" s="84" t="s">
        <v>955</v>
      </c>
      <c r="F242" s="84" t="s">
        <v>964</v>
      </c>
    </row>
    <row r="243" spans="1:6" hidden="1" x14ac:dyDescent="0.25">
      <c r="A243" s="85" t="s">
        <v>282</v>
      </c>
      <c r="B243" s="85" t="s">
        <v>2181</v>
      </c>
      <c r="C243" s="84" t="s">
        <v>922</v>
      </c>
      <c r="D243" s="84" t="s">
        <v>963</v>
      </c>
      <c r="E243" s="84" t="s">
        <v>955</v>
      </c>
      <c r="F243" s="84" t="s">
        <v>964</v>
      </c>
    </row>
    <row r="244" spans="1:6" hidden="1" x14ac:dyDescent="0.25">
      <c r="A244" s="85" t="s">
        <v>2182</v>
      </c>
      <c r="B244" s="85" t="s">
        <v>2183</v>
      </c>
      <c r="C244" s="84" t="s">
        <v>922</v>
      </c>
      <c r="D244" s="84" t="s">
        <v>2184</v>
      </c>
      <c r="E244" s="84" t="s">
        <v>955</v>
      </c>
      <c r="F244" s="84" t="s">
        <v>964</v>
      </c>
    </row>
    <row r="245" spans="1:6" hidden="1" x14ac:dyDescent="0.25">
      <c r="A245" s="85" t="s">
        <v>2185</v>
      </c>
      <c r="B245" s="85" t="s">
        <v>2185</v>
      </c>
      <c r="C245" s="84" t="s">
        <v>922</v>
      </c>
      <c r="D245" s="84" t="s">
        <v>963</v>
      </c>
      <c r="E245" s="84" t="s">
        <v>955</v>
      </c>
      <c r="F245" s="84" t="s">
        <v>964</v>
      </c>
    </row>
    <row r="246" spans="1:6" hidden="1" x14ac:dyDescent="0.25">
      <c r="A246" s="85" t="s">
        <v>965</v>
      </c>
      <c r="B246" s="85" t="s">
        <v>965</v>
      </c>
      <c r="C246" s="84" t="s">
        <v>958</v>
      </c>
      <c r="D246" s="84" t="s">
        <v>966</v>
      </c>
      <c r="E246" s="84" t="s">
        <v>955</v>
      </c>
      <c r="F246" s="84" t="s">
        <v>964</v>
      </c>
    </row>
    <row r="247" spans="1:6" hidden="1" x14ac:dyDescent="0.25">
      <c r="A247" s="85" t="s">
        <v>799</v>
      </c>
      <c r="B247" s="85" t="s">
        <v>799</v>
      </c>
      <c r="C247" s="84" t="s">
        <v>958</v>
      </c>
      <c r="D247" s="84" t="s">
        <v>967</v>
      </c>
      <c r="E247" s="84" t="s">
        <v>955</v>
      </c>
      <c r="F247" s="84" t="s">
        <v>964</v>
      </c>
    </row>
    <row r="248" spans="1:6" hidden="1" x14ac:dyDescent="0.25">
      <c r="A248" s="85" t="s">
        <v>2186</v>
      </c>
      <c r="B248" s="85" t="s">
        <v>2186</v>
      </c>
      <c r="C248" s="84" t="s">
        <v>958</v>
      </c>
      <c r="D248" s="84" t="s">
        <v>2187</v>
      </c>
      <c r="E248" s="84" t="s">
        <v>955</v>
      </c>
      <c r="F248" s="84" t="s">
        <v>964</v>
      </c>
    </row>
    <row r="249" spans="1:6" hidden="1" x14ac:dyDescent="0.25">
      <c r="A249" s="85" t="s">
        <v>2188</v>
      </c>
      <c r="B249" s="85" t="s">
        <v>2188</v>
      </c>
      <c r="C249" s="84" t="s">
        <v>958</v>
      </c>
      <c r="D249" s="84" t="s">
        <v>2189</v>
      </c>
      <c r="E249" s="84" t="s">
        <v>955</v>
      </c>
      <c r="F249" s="84" t="s">
        <v>964</v>
      </c>
    </row>
    <row r="250" spans="1:6" hidden="1" x14ac:dyDescent="0.25">
      <c r="A250" s="85" t="s">
        <v>2190</v>
      </c>
      <c r="B250" s="85" t="s">
        <v>2190</v>
      </c>
      <c r="C250" s="84" t="s">
        <v>922</v>
      </c>
      <c r="D250" s="84" t="s">
        <v>2191</v>
      </c>
      <c r="E250" s="84" t="s">
        <v>955</v>
      </c>
      <c r="F250" s="84" t="s">
        <v>969</v>
      </c>
    </row>
    <row r="251" spans="1:6" hidden="1" x14ac:dyDescent="0.25">
      <c r="A251" s="85" t="s">
        <v>2192</v>
      </c>
      <c r="B251" s="85" t="s">
        <v>2192</v>
      </c>
      <c r="C251" s="84" t="s">
        <v>922</v>
      </c>
      <c r="D251" s="84" t="s">
        <v>2193</v>
      </c>
      <c r="E251" s="84" t="s">
        <v>955</v>
      </c>
      <c r="F251" s="84" t="s">
        <v>969</v>
      </c>
    </row>
    <row r="252" spans="1:6" hidden="1" x14ac:dyDescent="0.25">
      <c r="A252" s="85" t="s">
        <v>267</v>
      </c>
      <c r="B252" s="85" t="s">
        <v>2194</v>
      </c>
      <c r="C252" s="84" t="s">
        <v>922</v>
      </c>
      <c r="D252" s="84" t="s">
        <v>968</v>
      </c>
      <c r="E252" s="84" t="s">
        <v>955</v>
      </c>
      <c r="F252" s="84" t="s">
        <v>969</v>
      </c>
    </row>
    <row r="253" spans="1:6" hidden="1" x14ac:dyDescent="0.25">
      <c r="A253" s="85" t="s">
        <v>281</v>
      </c>
      <c r="B253" s="85" t="s">
        <v>2195</v>
      </c>
      <c r="C253" s="84" t="s">
        <v>922</v>
      </c>
      <c r="D253" s="84" t="s">
        <v>2196</v>
      </c>
      <c r="E253" s="84" t="s">
        <v>955</v>
      </c>
      <c r="F253" s="84" t="s">
        <v>969</v>
      </c>
    </row>
    <row r="254" spans="1:6" hidden="1" x14ac:dyDescent="0.25">
      <c r="A254" s="85" t="s">
        <v>2197</v>
      </c>
      <c r="B254" s="85" t="s">
        <v>2195</v>
      </c>
      <c r="C254" s="84" t="s">
        <v>922</v>
      </c>
      <c r="D254" s="84" t="s">
        <v>970</v>
      </c>
      <c r="E254" s="84" t="s">
        <v>955</v>
      </c>
      <c r="F254" s="84" t="s">
        <v>969</v>
      </c>
    </row>
    <row r="255" spans="1:6" hidden="1" x14ac:dyDescent="0.25">
      <c r="A255" s="85" t="s">
        <v>2198</v>
      </c>
      <c r="B255" s="85" t="s">
        <v>2198</v>
      </c>
      <c r="C255" s="84" t="s">
        <v>922</v>
      </c>
      <c r="D255" s="84" t="s">
        <v>968</v>
      </c>
      <c r="E255" s="84" t="s">
        <v>955</v>
      </c>
      <c r="F255" s="84" t="s">
        <v>969</v>
      </c>
    </row>
    <row r="256" spans="1:6" hidden="1" x14ac:dyDescent="0.25">
      <c r="A256" s="85" t="s">
        <v>2199</v>
      </c>
      <c r="B256" s="85" t="s">
        <v>2199</v>
      </c>
      <c r="C256" s="84" t="s">
        <v>922</v>
      </c>
      <c r="D256" s="84" t="s">
        <v>2196</v>
      </c>
      <c r="E256" s="84" t="s">
        <v>955</v>
      </c>
      <c r="F256" s="84" t="s">
        <v>969</v>
      </c>
    </row>
    <row r="257" spans="1:6" hidden="1" x14ac:dyDescent="0.25">
      <c r="A257" s="85" t="s">
        <v>205</v>
      </c>
      <c r="B257" s="85" t="s">
        <v>205</v>
      </c>
      <c r="C257" s="84" t="s">
        <v>958</v>
      </c>
      <c r="D257" s="84" t="s">
        <v>971</v>
      </c>
      <c r="E257" s="84" t="s">
        <v>955</v>
      </c>
      <c r="F257" s="84" t="s">
        <v>969</v>
      </c>
    </row>
    <row r="258" spans="1:6" hidden="1" x14ac:dyDescent="0.25">
      <c r="A258" s="85" t="s">
        <v>2200</v>
      </c>
      <c r="B258" s="85" t="s">
        <v>2200</v>
      </c>
      <c r="C258" s="84" t="s">
        <v>958</v>
      </c>
      <c r="D258" s="84" t="s">
        <v>2201</v>
      </c>
      <c r="E258" s="84" t="s">
        <v>955</v>
      </c>
      <c r="F258" s="84" t="s">
        <v>969</v>
      </c>
    </row>
    <row r="259" spans="1:6" hidden="1" x14ac:dyDescent="0.25">
      <c r="A259" s="85" t="s">
        <v>229</v>
      </c>
      <c r="B259" s="85" t="s">
        <v>229</v>
      </c>
      <c r="C259" s="84" t="s">
        <v>958</v>
      </c>
      <c r="D259" s="84" t="s">
        <v>972</v>
      </c>
      <c r="E259" s="84" t="s">
        <v>955</v>
      </c>
      <c r="F259" s="84" t="s">
        <v>969</v>
      </c>
    </row>
    <row r="260" spans="1:6" hidden="1" x14ac:dyDescent="0.25">
      <c r="A260" s="85" t="s">
        <v>2202</v>
      </c>
      <c r="B260" s="85" t="s">
        <v>2202</v>
      </c>
      <c r="C260" s="84" t="s">
        <v>958</v>
      </c>
      <c r="D260" s="84" t="s">
        <v>2203</v>
      </c>
      <c r="E260" s="84" t="s">
        <v>955</v>
      </c>
      <c r="F260" s="84" t="s">
        <v>969</v>
      </c>
    </row>
    <row r="261" spans="1:6" hidden="1" x14ac:dyDescent="0.25">
      <c r="A261" s="85" t="s">
        <v>2204</v>
      </c>
      <c r="B261" s="85" t="s">
        <v>2204</v>
      </c>
      <c r="C261" s="84" t="s">
        <v>958</v>
      </c>
      <c r="D261" s="84" t="s">
        <v>2205</v>
      </c>
      <c r="E261" s="84" t="s">
        <v>955</v>
      </c>
      <c r="F261" s="84" t="s">
        <v>969</v>
      </c>
    </row>
    <row r="262" spans="1:6" hidden="1" x14ac:dyDescent="0.25">
      <c r="A262" s="85" t="s">
        <v>2206</v>
      </c>
      <c r="B262" s="85" t="s">
        <v>2206</v>
      </c>
      <c r="C262" s="84" t="s">
        <v>922</v>
      </c>
      <c r="D262" s="84" t="s">
        <v>2207</v>
      </c>
      <c r="E262" s="84" t="s">
        <v>955</v>
      </c>
      <c r="F262" s="84" t="s">
        <v>2208</v>
      </c>
    </row>
    <row r="263" spans="1:6" hidden="1" x14ac:dyDescent="0.25">
      <c r="A263" s="85" t="s">
        <v>2209</v>
      </c>
      <c r="B263" s="85" t="s">
        <v>2209</v>
      </c>
      <c r="C263" s="84" t="s">
        <v>922</v>
      </c>
      <c r="D263" s="84" t="s">
        <v>2210</v>
      </c>
      <c r="E263" s="84" t="s">
        <v>955</v>
      </c>
      <c r="F263" s="84" t="s">
        <v>974</v>
      </c>
    </row>
    <row r="264" spans="1:6" hidden="1" x14ac:dyDescent="0.25">
      <c r="A264" s="85" t="s">
        <v>2211</v>
      </c>
      <c r="B264" s="85" t="s">
        <v>2211</v>
      </c>
      <c r="C264" s="84" t="s">
        <v>922</v>
      </c>
      <c r="D264" s="84" t="s">
        <v>2212</v>
      </c>
      <c r="E264" s="84" t="s">
        <v>955</v>
      </c>
      <c r="F264" s="84" t="s">
        <v>974</v>
      </c>
    </row>
    <row r="265" spans="1:6" hidden="1" x14ac:dyDescent="0.25">
      <c r="A265" s="85" t="s">
        <v>2213</v>
      </c>
      <c r="B265" s="85" t="s">
        <v>2213</v>
      </c>
      <c r="C265" s="84" t="s">
        <v>922</v>
      </c>
      <c r="D265" s="84" t="s">
        <v>2214</v>
      </c>
      <c r="E265" s="84" t="s">
        <v>955</v>
      </c>
      <c r="F265" s="84" t="s">
        <v>974</v>
      </c>
    </row>
    <row r="266" spans="1:6" hidden="1" x14ac:dyDescent="0.25">
      <c r="A266" s="85" t="s">
        <v>2215</v>
      </c>
      <c r="B266" s="85" t="s">
        <v>2215</v>
      </c>
      <c r="C266" s="84" t="s">
        <v>922</v>
      </c>
      <c r="D266" s="84" t="s">
        <v>2216</v>
      </c>
      <c r="E266" s="84" t="s">
        <v>955</v>
      </c>
      <c r="F266" s="84" t="s">
        <v>974</v>
      </c>
    </row>
    <row r="267" spans="1:6" hidden="1" x14ac:dyDescent="0.25">
      <c r="A267" s="85" t="s">
        <v>268</v>
      </c>
      <c r="B267" s="85" t="s">
        <v>2217</v>
      </c>
      <c r="C267" s="84" t="s">
        <v>922</v>
      </c>
      <c r="D267" s="84" t="s">
        <v>973</v>
      </c>
      <c r="E267" s="84" t="s">
        <v>955</v>
      </c>
      <c r="F267" s="84" t="s">
        <v>974</v>
      </c>
    </row>
    <row r="268" spans="1:6" hidden="1" x14ac:dyDescent="0.25">
      <c r="A268" s="85" t="s">
        <v>269</v>
      </c>
      <c r="B268" s="85" t="s">
        <v>2218</v>
      </c>
      <c r="C268" s="84" t="s">
        <v>922</v>
      </c>
      <c r="D268" s="84" t="s">
        <v>975</v>
      </c>
      <c r="E268" s="84" t="s">
        <v>955</v>
      </c>
      <c r="F268" s="84" t="s">
        <v>974</v>
      </c>
    </row>
    <row r="269" spans="1:6" hidden="1" x14ac:dyDescent="0.25">
      <c r="A269" s="85" t="s">
        <v>270</v>
      </c>
      <c r="B269" s="85" t="s">
        <v>2219</v>
      </c>
      <c r="C269" s="84" t="s">
        <v>922</v>
      </c>
      <c r="D269" s="84" t="s">
        <v>976</v>
      </c>
      <c r="E269" s="84" t="s">
        <v>955</v>
      </c>
      <c r="F269" s="84" t="s">
        <v>974</v>
      </c>
    </row>
    <row r="270" spans="1:6" hidden="1" x14ac:dyDescent="0.25">
      <c r="A270" s="85" t="s">
        <v>271</v>
      </c>
      <c r="B270" s="85" t="s">
        <v>2220</v>
      </c>
      <c r="C270" s="84" t="s">
        <v>922</v>
      </c>
      <c r="D270" s="84" t="s">
        <v>977</v>
      </c>
      <c r="E270" s="84" t="s">
        <v>955</v>
      </c>
      <c r="F270" s="84" t="s">
        <v>974</v>
      </c>
    </row>
    <row r="271" spans="1:6" hidden="1" x14ac:dyDescent="0.25">
      <c r="A271" s="85" t="s">
        <v>2221</v>
      </c>
      <c r="B271" s="85" t="s">
        <v>2221</v>
      </c>
      <c r="C271" s="84" t="s">
        <v>922</v>
      </c>
      <c r="D271" s="84" t="s">
        <v>973</v>
      </c>
      <c r="E271" s="84" t="s">
        <v>955</v>
      </c>
      <c r="F271" s="84" t="s">
        <v>974</v>
      </c>
    </row>
    <row r="272" spans="1:6" hidden="1" x14ac:dyDescent="0.25">
      <c r="A272" s="85" t="s">
        <v>2222</v>
      </c>
      <c r="B272" s="85" t="s">
        <v>2222</v>
      </c>
      <c r="C272" s="84" t="s">
        <v>922</v>
      </c>
      <c r="D272" s="84" t="s">
        <v>975</v>
      </c>
      <c r="E272" s="84" t="s">
        <v>955</v>
      </c>
      <c r="F272" s="84" t="s">
        <v>974</v>
      </c>
    </row>
    <row r="273" spans="1:6" hidden="1" x14ac:dyDescent="0.25">
      <c r="A273" s="85" t="s">
        <v>2223</v>
      </c>
      <c r="B273" s="85" t="s">
        <v>2223</v>
      </c>
      <c r="C273" s="84" t="s">
        <v>922</v>
      </c>
      <c r="D273" s="84" t="s">
        <v>976</v>
      </c>
      <c r="E273" s="84" t="s">
        <v>955</v>
      </c>
      <c r="F273" s="84" t="s">
        <v>974</v>
      </c>
    </row>
    <row r="274" spans="1:6" hidden="1" x14ac:dyDescent="0.25">
      <c r="A274" s="85" t="s">
        <v>2224</v>
      </c>
      <c r="B274" s="85" t="s">
        <v>2224</v>
      </c>
      <c r="C274" s="84" t="s">
        <v>922</v>
      </c>
      <c r="D274" s="84" t="s">
        <v>977</v>
      </c>
      <c r="E274" s="84" t="s">
        <v>955</v>
      </c>
      <c r="F274" s="84" t="s">
        <v>974</v>
      </c>
    </row>
    <row r="275" spans="1:6" hidden="1" x14ac:dyDescent="0.25">
      <c r="A275" s="85" t="s">
        <v>207</v>
      </c>
      <c r="B275" s="85" t="s">
        <v>207</v>
      </c>
      <c r="C275" s="84" t="s">
        <v>958</v>
      </c>
      <c r="D275" s="84" t="s">
        <v>208</v>
      </c>
      <c r="E275" s="84" t="s">
        <v>955</v>
      </c>
      <c r="F275" s="84" t="s">
        <v>974</v>
      </c>
    </row>
    <row r="276" spans="1:6" hidden="1" x14ac:dyDescent="0.25">
      <c r="A276" s="85" t="s">
        <v>2225</v>
      </c>
      <c r="B276" s="85" t="s">
        <v>2225</v>
      </c>
      <c r="C276" s="84" t="s">
        <v>958</v>
      </c>
      <c r="D276" s="84" t="s">
        <v>2226</v>
      </c>
      <c r="E276" s="84" t="s">
        <v>955</v>
      </c>
      <c r="F276" s="84" t="s">
        <v>974</v>
      </c>
    </row>
    <row r="277" spans="1:6" hidden="1" x14ac:dyDescent="0.25">
      <c r="A277" s="85" t="s">
        <v>2227</v>
      </c>
      <c r="B277" s="85" t="s">
        <v>2227</v>
      </c>
      <c r="C277" s="84" t="s">
        <v>958</v>
      </c>
      <c r="D277" s="84" t="s">
        <v>2228</v>
      </c>
      <c r="E277" s="84" t="s">
        <v>955</v>
      </c>
      <c r="F277" s="84" t="s">
        <v>974</v>
      </c>
    </row>
    <row r="278" spans="1:6" hidden="1" x14ac:dyDescent="0.25">
      <c r="A278" s="85" t="s">
        <v>2229</v>
      </c>
      <c r="B278" s="85" t="s">
        <v>2229</v>
      </c>
      <c r="C278" s="84" t="s">
        <v>958</v>
      </c>
      <c r="D278" s="84" t="s">
        <v>2230</v>
      </c>
      <c r="E278" s="84" t="s">
        <v>955</v>
      </c>
      <c r="F278" s="84" t="s">
        <v>974</v>
      </c>
    </row>
    <row r="279" spans="1:6" hidden="1" x14ac:dyDescent="0.25">
      <c r="A279" s="85" t="s">
        <v>209</v>
      </c>
      <c r="B279" s="85" t="s">
        <v>209</v>
      </c>
      <c r="C279" s="84" t="s">
        <v>958</v>
      </c>
      <c r="D279" s="84" t="s">
        <v>978</v>
      </c>
      <c r="E279" s="84" t="s">
        <v>955</v>
      </c>
      <c r="F279" s="84" t="s">
        <v>974</v>
      </c>
    </row>
    <row r="280" spans="1:6" hidden="1" x14ac:dyDescent="0.25">
      <c r="A280" s="85" t="s">
        <v>2231</v>
      </c>
      <c r="B280" s="85" t="s">
        <v>2231</v>
      </c>
      <c r="C280" s="84" t="s">
        <v>958</v>
      </c>
      <c r="D280" s="84" t="s">
        <v>2232</v>
      </c>
      <c r="E280" s="84" t="s">
        <v>955</v>
      </c>
      <c r="F280" s="84" t="s">
        <v>974</v>
      </c>
    </row>
    <row r="281" spans="1:6" hidden="1" x14ac:dyDescent="0.25">
      <c r="A281" s="85" t="s">
        <v>2233</v>
      </c>
      <c r="B281" s="85" t="s">
        <v>2233</v>
      </c>
      <c r="C281" s="84" t="s">
        <v>958</v>
      </c>
      <c r="D281" s="84" t="s">
        <v>2234</v>
      </c>
      <c r="E281" s="84" t="s">
        <v>955</v>
      </c>
      <c r="F281" s="84" t="s">
        <v>974</v>
      </c>
    </row>
    <row r="282" spans="1:6" hidden="1" x14ac:dyDescent="0.25">
      <c r="A282" s="85" t="s">
        <v>2235</v>
      </c>
      <c r="B282" s="85" t="s">
        <v>2235</v>
      </c>
      <c r="C282" s="84" t="s">
        <v>958</v>
      </c>
      <c r="D282" s="84" t="s">
        <v>2236</v>
      </c>
      <c r="E282" s="84" t="s">
        <v>955</v>
      </c>
      <c r="F282" s="84" t="s">
        <v>974</v>
      </c>
    </row>
    <row r="283" spans="1:6" hidden="1" x14ac:dyDescent="0.25">
      <c r="A283" s="85" t="s">
        <v>211</v>
      </c>
      <c r="B283" s="85" t="s">
        <v>211</v>
      </c>
      <c r="C283" s="84" t="s">
        <v>958</v>
      </c>
      <c r="D283" s="84" t="s">
        <v>979</v>
      </c>
      <c r="E283" s="84" t="s">
        <v>955</v>
      </c>
      <c r="F283" s="84" t="s">
        <v>974</v>
      </c>
    </row>
    <row r="284" spans="1:6" hidden="1" x14ac:dyDescent="0.25">
      <c r="A284" s="85" t="s">
        <v>2237</v>
      </c>
      <c r="B284" s="85" t="s">
        <v>2237</v>
      </c>
      <c r="C284" s="84" t="s">
        <v>958</v>
      </c>
      <c r="D284" s="84" t="s">
        <v>2238</v>
      </c>
      <c r="E284" s="84" t="s">
        <v>955</v>
      </c>
      <c r="F284" s="84" t="s">
        <v>974</v>
      </c>
    </row>
    <row r="285" spans="1:6" hidden="1" x14ac:dyDescent="0.25">
      <c r="A285" s="85" t="s">
        <v>2239</v>
      </c>
      <c r="B285" s="85" t="s">
        <v>2239</v>
      </c>
      <c r="C285" s="84" t="s">
        <v>958</v>
      </c>
      <c r="D285" s="84" t="s">
        <v>2240</v>
      </c>
      <c r="E285" s="84" t="s">
        <v>955</v>
      </c>
      <c r="F285" s="84" t="s">
        <v>974</v>
      </c>
    </row>
    <row r="286" spans="1:6" hidden="1" x14ac:dyDescent="0.25">
      <c r="A286" s="85" t="s">
        <v>2241</v>
      </c>
      <c r="B286" s="85" t="s">
        <v>2241</v>
      </c>
      <c r="C286" s="84" t="s">
        <v>958</v>
      </c>
      <c r="D286" s="84" t="s">
        <v>2242</v>
      </c>
      <c r="E286" s="84" t="s">
        <v>955</v>
      </c>
      <c r="F286" s="84" t="s">
        <v>974</v>
      </c>
    </row>
    <row r="287" spans="1:6" hidden="1" x14ac:dyDescent="0.25">
      <c r="A287" s="85" t="s">
        <v>213</v>
      </c>
      <c r="B287" s="85" t="s">
        <v>213</v>
      </c>
      <c r="C287" s="84" t="s">
        <v>958</v>
      </c>
      <c r="D287" s="84" t="s">
        <v>980</v>
      </c>
      <c r="E287" s="84" t="s">
        <v>955</v>
      </c>
      <c r="F287" s="84" t="s">
        <v>974</v>
      </c>
    </row>
    <row r="288" spans="1:6" hidden="1" x14ac:dyDescent="0.25">
      <c r="A288" s="85" t="s">
        <v>2243</v>
      </c>
      <c r="B288" s="85" t="s">
        <v>2243</v>
      </c>
      <c r="C288" s="84" t="s">
        <v>958</v>
      </c>
      <c r="D288" s="84" t="s">
        <v>2244</v>
      </c>
      <c r="E288" s="84" t="s">
        <v>955</v>
      </c>
      <c r="F288" s="84" t="s">
        <v>974</v>
      </c>
    </row>
    <row r="289" spans="1:6" hidden="1" x14ac:dyDescent="0.25">
      <c r="A289" s="85" t="s">
        <v>2245</v>
      </c>
      <c r="B289" s="85" t="s">
        <v>2245</v>
      </c>
      <c r="C289" s="84" t="s">
        <v>958</v>
      </c>
      <c r="D289" s="84" t="s">
        <v>2246</v>
      </c>
      <c r="E289" s="84" t="s">
        <v>955</v>
      </c>
      <c r="F289" s="84" t="s">
        <v>974</v>
      </c>
    </row>
    <row r="290" spans="1:6" hidden="1" x14ac:dyDescent="0.25">
      <c r="A290" s="85" t="s">
        <v>2247</v>
      </c>
      <c r="B290" s="85" t="s">
        <v>2247</v>
      </c>
      <c r="C290" s="84" t="s">
        <v>958</v>
      </c>
      <c r="D290" s="84" t="s">
        <v>2248</v>
      </c>
      <c r="E290" s="84" t="s">
        <v>955</v>
      </c>
      <c r="F290" s="84" t="s">
        <v>974</v>
      </c>
    </row>
    <row r="291" spans="1:6" hidden="1" x14ac:dyDescent="0.25">
      <c r="A291" s="85" t="s">
        <v>2249</v>
      </c>
      <c r="B291" s="85" t="s">
        <v>2249</v>
      </c>
      <c r="C291" s="84" t="s">
        <v>922</v>
      </c>
      <c r="D291" s="84" t="s">
        <v>2250</v>
      </c>
      <c r="E291" s="84" t="s">
        <v>955</v>
      </c>
      <c r="F291" s="84" t="s">
        <v>982</v>
      </c>
    </row>
    <row r="292" spans="1:6" hidden="1" x14ac:dyDescent="0.25">
      <c r="A292" s="85" t="s">
        <v>2251</v>
      </c>
      <c r="B292" s="85" t="s">
        <v>2251</v>
      </c>
      <c r="C292" s="84" t="s">
        <v>922</v>
      </c>
      <c r="D292" s="84" t="s">
        <v>2252</v>
      </c>
      <c r="E292" s="84" t="s">
        <v>955</v>
      </c>
      <c r="F292" s="84" t="s">
        <v>982</v>
      </c>
    </row>
    <row r="293" spans="1:6" hidden="1" x14ac:dyDescent="0.25">
      <c r="A293" s="85" t="s">
        <v>2253</v>
      </c>
      <c r="B293" s="85" t="s">
        <v>2253</v>
      </c>
      <c r="C293" s="84" t="s">
        <v>922</v>
      </c>
      <c r="D293" s="84" t="s">
        <v>2254</v>
      </c>
      <c r="E293" s="84" t="s">
        <v>955</v>
      </c>
      <c r="F293" s="84" t="s">
        <v>982</v>
      </c>
    </row>
    <row r="294" spans="1:6" hidden="1" x14ac:dyDescent="0.25">
      <c r="A294" s="85" t="s">
        <v>2255</v>
      </c>
      <c r="B294" s="85" t="s">
        <v>2255</v>
      </c>
      <c r="C294" s="84" t="s">
        <v>922</v>
      </c>
      <c r="D294" s="84" t="s">
        <v>2256</v>
      </c>
      <c r="E294" s="84" t="s">
        <v>955</v>
      </c>
      <c r="F294" s="84" t="s">
        <v>982</v>
      </c>
    </row>
    <row r="295" spans="1:6" hidden="1" x14ac:dyDescent="0.25">
      <c r="A295" s="85" t="s">
        <v>2257</v>
      </c>
      <c r="B295" s="85" t="s">
        <v>2257</v>
      </c>
      <c r="C295" s="84" t="s">
        <v>922</v>
      </c>
      <c r="D295" s="84" t="s">
        <v>2258</v>
      </c>
      <c r="E295" s="84" t="s">
        <v>955</v>
      </c>
      <c r="F295" s="84" t="s">
        <v>982</v>
      </c>
    </row>
    <row r="296" spans="1:6" hidden="1" x14ac:dyDescent="0.25">
      <c r="A296" s="85" t="s">
        <v>2259</v>
      </c>
      <c r="B296" s="85" t="s">
        <v>2259</v>
      </c>
      <c r="C296" s="84" t="s">
        <v>922</v>
      </c>
      <c r="D296" s="84" t="s">
        <v>2260</v>
      </c>
      <c r="E296" s="84" t="s">
        <v>955</v>
      </c>
      <c r="F296" s="84" t="s">
        <v>982</v>
      </c>
    </row>
    <row r="297" spans="1:6" hidden="1" x14ac:dyDescent="0.25">
      <c r="A297" s="85" t="s">
        <v>2261</v>
      </c>
      <c r="B297" s="85" t="s">
        <v>2261</v>
      </c>
      <c r="C297" s="84" t="s">
        <v>922</v>
      </c>
      <c r="D297" s="84" t="s">
        <v>2262</v>
      </c>
      <c r="E297" s="84" t="s">
        <v>955</v>
      </c>
      <c r="F297" s="84" t="s">
        <v>982</v>
      </c>
    </row>
    <row r="298" spans="1:6" hidden="1" x14ac:dyDescent="0.25">
      <c r="A298" s="85" t="s">
        <v>274</v>
      </c>
      <c r="B298" s="85" t="s">
        <v>2263</v>
      </c>
      <c r="C298" s="84" t="s">
        <v>922</v>
      </c>
      <c r="D298" s="84" t="s">
        <v>981</v>
      </c>
      <c r="E298" s="84" t="s">
        <v>955</v>
      </c>
      <c r="F298" s="84" t="s">
        <v>982</v>
      </c>
    </row>
    <row r="299" spans="1:6" hidden="1" x14ac:dyDescent="0.25">
      <c r="A299" s="85" t="s">
        <v>275</v>
      </c>
      <c r="B299" s="85" t="s">
        <v>2264</v>
      </c>
      <c r="C299" s="84" t="s">
        <v>922</v>
      </c>
      <c r="D299" s="84" t="s">
        <v>983</v>
      </c>
      <c r="E299" s="84" t="s">
        <v>955</v>
      </c>
      <c r="F299" s="84" t="s">
        <v>982</v>
      </c>
    </row>
    <row r="300" spans="1:6" hidden="1" x14ac:dyDescent="0.25">
      <c r="A300" s="85" t="s">
        <v>276</v>
      </c>
      <c r="B300" s="85" t="s">
        <v>2265</v>
      </c>
      <c r="C300" s="84" t="s">
        <v>922</v>
      </c>
      <c r="D300" s="84" t="s">
        <v>984</v>
      </c>
      <c r="E300" s="84" t="s">
        <v>955</v>
      </c>
      <c r="F300" s="84" t="s">
        <v>982</v>
      </c>
    </row>
    <row r="301" spans="1:6" hidden="1" x14ac:dyDescent="0.25">
      <c r="A301" s="85" t="s">
        <v>277</v>
      </c>
      <c r="B301" s="85" t="s">
        <v>2266</v>
      </c>
      <c r="C301" s="84" t="s">
        <v>922</v>
      </c>
      <c r="D301" s="84" t="s">
        <v>985</v>
      </c>
      <c r="E301" s="84" t="s">
        <v>955</v>
      </c>
      <c r="F301" s="84" t="s">
        <v>982</v>
      </c>
    </row>
    <row r="302" spans="1:6" hidden="1" x14ac:dyDescent="0.25">
      <c r="A302" s="85" t="s">
        <v>278</v>
      </c>
      <c r="B302" s="85" t="s">
        <v>2267</v>
      </c>
      <c r="C302" s="84" t="s">
        <v>922</v>
      </c>
      <c r="D302" s="84" t="s">
        <v>986</v>
      </c>
      <c r="E302" s="84" t="s">
        <v>955</v>
      </c>
      <c r="F302" s="84" t="s">
        <v>982</v>
      </c>
    </row>
    <row r="303" spans="1:6" hidden="1" x14ac:dyDescent="0.25">
      <c r="A303" s="85" t="s">
        <v>279</v>
      </c>
      <c r="B303" s="85" t="s">
        <v>2268</v>
      </c>
      <c r="C303" s="84" t="s">
        <v>922</v>
      </c>
      <c r="D303" s="84" t="s">
        <v>987</v>
      </c>
      <c r="E303" s="84" t="s">
        <v>955</v>
      </c>
      <c r="F303" s="84" t="s">
        <v>982</v>
      </c>
    </row>
    <row r="304" spans="1:6" hidden="1" x14ac:dyDescent="0.25">
      <c r="A304" s="85" t="s">
        <v>280</v>
      </c>
      <c r="B304" s="85" t="s">
        <v>2269</v>
      </c>
      <c r="C304" s="84" t="s">
        <v>922</v>
      </c>
      <c r="D304" s="84" t="s">
        <v>988</v>
      </c>
      <c r="E304" s="84" t="s">
        <v>955</v>
      </c>
      <c r="F304" s="84" t="s">
        <v>982</v>
      </c>
    </row>
    <row r="305" spans="1:6" hidden="1" x14ac:dyDescent="0.25">
      <c r="A305" s="85" t="s">
        <v>2270</v>
      </c>
      <c r="B305" s="85" t="s">
        <v>2263</v>
      </c>
      <c r="C305" s="84" t="s">
        <v>922</v>
      </c>
      <c r="D305" s="84" t="s">
        <v>2271</v>
      </c>
      <c r="E305" s="84" t="s">
        <v>955</v>
      </c>
      <c r="F305" s="84" t="s">
        <v>982</v>
      </c>
    </row>
    <row r="306" spans="1:6" hidden="1" x14ac:dyDescent="0.25">
      <c r="A306" s="85" t="s">
        <v>2272</v>
      </c>
      <c r="B306" s="85" t="s">
        <v>2266</v>
      </c>
      <c r="C306" s="84" t="s">
        <v>922</v>
      </c>
      <c r="D306" s="84" t="s">
        <v>2273</v>
      </c>
      <c r="E306" s="84" t="s">
        <v>955</v>
      </c>
      <c r="F306" s="84" t="s">
        <v>982</v>
      </c>
    </row>
    <row r="307" spans="1:6" hidden="1" x14ac:dyDescent="0.25">
      <c r="A307" s="85" t="s">
        <v>2274</v>
      </c>
      <c r="B307" s="85" t="s">
        <v>2268</v>
      </c>
      <c r="C307" s="84" t="s">
        <v>922</v>
      </c>
      <c r="D307" s="84" t="s">
        <v>2275</v>
      </c>
      <c r="E307" s="84" t="s">
        <v>955</v>
      </c>
      <c r="F307" s="84" t="s">
        <v>982</v>
      </c>
    </row>
    <row r="308" spans="1:6" hidden="1" x14ac:dyDescent="0.25">
      <c r="A308" s="85" t="s">
        <v>2276</v>
      </c>
      <c r="B308" s="85" t="s">
        <v>2276</v>
      </c>
      <c r="C308" s="84" t="s">
        <v>922</v>
      </c>
      <c r="D308" s="84" t="s">
        <v>981</v>
      </c>
      <c r="E308" s="84" t="s">
        <v>955</v>
      </c>
      <c r="F308" s="84" t="s">
        <v>982</v>
      </c>
    </row>
    <row r="309" spans="1:6" hidden="1" x14ac:dyDescent="0.25">
      <c r="A309" s="85" t="s">
        <v>2277</v>
      </c>
      <c r="B309" s="85" t="s">
        <v>2277</v>
      </c>
      <c r="C309" s="84" t="s">
        <v>922</v>
      </c>
      <c r="D309" s="84" t="s">
        <v>983</v>
      </c>
      <c r="E309" s="84" t="s">
        <v>955</v>
      </c>
      <c r="F309" s="84" t="s">
        <v>982</v>
      </c>
    </row>
    <row r="310" spans="1:6" hidden="1" x14ac:dyDescent="0.25">
      <c r="A310" s="85" t="s">
        <v>2278</v>
      </c>
      <c r="B310" s="85" t="s">
        <v>2278</v>
      </c>
      <c r="C310" s="84" t="s">
        <v>922</v>
      </c>
      <c r="D310" s="84" t="s">
        <v>984</v>
      </c>
      <c r="E310" s="84" t="s">
        <v>955</v>
      </c>
      <c r="F310" s="84" t="s">
        <v>982</v>
      </c>
    </row>
    <row r="311" spans="1:6" hidden="1" x14ac:dyDescent="0.25">
      <c r="A311" s="85" t="s">
        <v>2279</v>
      </c>
      <c r="B311" s="85" t="s">
        <v>2279</v>
      </c>
      <c r="C311" s="84" t="s">
        <v>922</v>
      </c>
      <c r="D311" s="84" t="s">
        <v>985</v>
      </c>
      <c r="E311" s="84" t="s">
        <v>955</v>
      </c>
      <c r="F311" s="84" t="s">
        <v>982</v>
      </c>
    </row>
    <row r="312" spans="1:6" hidden="1" x14ac:dyDescent="0.25">
      <c r="A312" s="85" t="s">
        <v>2280</v>
      </c>
      <c r="B312" s="85" t="s">
        <v>2280</v>
      </c>
      <c r="C312" s="84" t="s">
        <v>922</v>
      </c>
      <c r="D312" s="84" t="s">
        <v>986</v>
      </c>
      <c r="E312" s="84" t="s">
        <v>955</v>
      </c>
      <c r="F312" s="84" t="s">
        <v>982</v>
      </c>
    </row>
    <row r="313" spans="1:6" hidden="1" x14ac:dyDescent="0.25">
      <c r="A313" s="85" t="s">
        <v>2281</v>
      </c>
      <c r="B313" s="85" t="s">
        <v>2281</v>
      </c>
      <c r="C313" s="84" t="s">
        <v>922</v>
      </c>
      <c r="D313" s="84" t="s">
        <v>987</v>
      </c>
      <c r="E313" s="84" t="s">
        <v>955</v>
      </c>
      <c r="F313" s="84" t="s">
        <v>982</v>
      </c>
    </row>
    <row r="314" spans="1:6" hidden="1" x14ac:dyDescent="0.25">
      <c r="A314" s="85" t="s">
        <v>2282</v>
      </c>
      <c r="B314" s="85" t="s">
        <v>2282</v>
      </c>
      <c r="C314" s="84" t="s">
        <v>922</v>
      </c>
      <c r="D314" s="84" t="s">
        <v>988</v>
      </c>
      <c r="E314" s="84" t="s">
        <v>955</v>
      </c>
      <c r="F314" s="84" t="s">
        <v>982</v>
      </c>
    </row>
    <row r="315" spans="1:6" hidden="1" x14ac:dyDescent="0.25">
      <c r="A315" s="85" t="s">
        <v>2283</v>
      </c>
      <c r="B315" s="85" t="s">
        <v>2283</v>
      </c>
      <c r="C315" s="84" t="s">
        <v>958</v>
      </c>
      <c r="D315" s="84" t="s">
        <v>2284</v>
      </c>
      <c r="E315" s="84" t="s">
        <v>955</v>
      </c>
      <c r="F315" s="84" t="s">
        <v>982</v>
      </c>
    </row>
    <row r="316" spans="1:6" hidden="1" x14ac:dyDescent="0.25">
      <c r="A316" s="85" t="s">
        <v>2285</v>
      </c>
      <c r="B316" s="85" t="s">
        <v>2285</v>
      </c>
      <c r="C316" s="84" t="s">
        <v>958</v>
      </c>
      <c r="D316" s="84" t="s">
        <v>2286</v>
      </c>
      <c r="E316" s="84" t="s">
        <v>955</v>
      </c>
      <c r="F316" s="84" t="s">
        <v>982</v>
      </c>
    </row>
    <row r="317" spans="1:6" hidden="1" x14ac:dyDescent="0.25">
      <c r="A317" s="85" t="s">
        <v>2287</v>
      </c>
      <c r="B317" s="85" t="s">
        <v>2287</v>
      </c>
      <c r="C317" s="84" t="s">
        <v>958</v>
      </c>
      <c r="D317" s="84" t="s">
        <v>2288</v>
      </c>
      <c r="E317" s="84" t="s">
        <v>955</v>
      </c>
      <c r="F317" s="84" t="s">
        <v>982</v>
      </c>
    </row>
    <row r="318" spans="1:6" hidden="1" x14ac:dyDescent="0.25">
      <c r="A318" s="85" t="s">
        <v>2289</v>
      </c>
      <c r="B318" s="85" t="s">
        <v>2289</v>
      </c>
      <c r="C318" s="84" t="s">
        <v>958</v>
      </c>
      <c r="D318" s="84" t="s">
        <v>2290</v>
      </c>
      <c r="E318" s="84" t="s">
        <v>955</v>
      </c>
      <c r="F318" s="84" t="s">
        <v>982</v>
      </c>
    </row>
    <row r="319" spans="1:6" hidden="1" x14ac:dyDescent="0.25">
      <c r="A319" s="85" t="s">
        <v>2291</v>
      </c>
      <c r="B319" s="85" t="s">
        <v>2291</v>
      </c>
      <c r="C319" s="84" t="s">
        <v>958</v>
      </c>
      <c r="D319" s="84" t="s">
        <v>2292</v>
      </c>
      <c r="E319" s="84" t="s">
        <v>955</v>
      </c>
      <c r="F319" s="84" t="s">
        <v>982</v>
      </c>
    </row>
    <row r="320" spans="1:6" hidden="1" x14ac:dyDescent="0.25">
      <c r="A320" s="85" t="s">
        <v>2293</v>
      </c>
      <c r="B320" s="85" t="s">
        <v>2293</v>
      </c>
      <c r="C320" s="84" t="s">
        <v>958</v>
      </c>
      <c r="D320" s="84" t="s">
        <v>2294</v>
      </c>
      <c r="E320" s="84" t="s">
        <v>955</v>
      </c>
      <c r="F320" s="84" t="s">
        <v>982</v>
      </c>
    </row>
    <row r="321" spans="1:6" hidden="1" x14ac:dyDescent="0.25">
      <c r="A321" s="85" t="s">
        <v>222</v>
      </c>
      <c r="B321" s="85" t="s">
        <v>222</v>
      </c>
      <c r="C321" s="84" t="s">
        <v>958</v>
      </c>
      <c r="D321" s="84" t="s">
        <v>989</v>
      </c>
      <c r="E321" s="84" t="s">
        <v>955</v>
      </c>
      <c r="F321" s="84" t="s">
        <v>982</v>
      </c>
    </row>
    <row r="322" spans="1:6" hidden="1" x14ac:dyDescent="0.25">
      <c r="A322" s="85" t="s">
        <v>2295</v>
      </c>
      <c r="B322" s="85" t="s">
        <v>2295</v>
      </c>
      <c r="C322" s="84" t="s">
        <v>958</v>
      </c>
      <c r="D322" s="84" t="s">
        <v>2296</v>
      </c>
      <c r="E322" s="84" t="s">
        <v>955</v>
      </c>
      <c r="F322" s="84" t="s">
        <v>982</v>
      </c>
    </row>
    <row r="323" spans="1:6" hidden="1" x14ac:dyDescent="0.25">
      <c r="A323" s="85" t="s">
        <v>2297</v>
      </c>
      <c r="B323" s="85" t="s">
        <v>2297</v>
      </c>
      <c r="C323" s="84" t="s">
        <v>958</v>
      </c>
      <c r="D323" s="84" t="s">
        <v>2298</v>
      </c>
      <c r="E323" s="84" t="s">
        <v>955</v>
      </c>
      <c r="F323" s="84" t="s">
        <v>982</v>
      </c>
    </row>
    <row r="324" spans="1:6" hidden="1" x14ac:dyDescent="0.25">
      <c r="A324" s="85" t="s">
        <v>223</v>
      </c>
      <c r="B324" s="85" t="s">
        <v>223</v>
      </c>
      <c r="C324" s="84" t="s">
        <v>958</v>
      </c>
      <c r="D324" s="84" t="s">
        <v>990</v>
      </c>
      <c r="E324" s="84" t="s">
        <v>955</v>
      </c>
      <c r="F324" s="84" t="s">
        <v>982</v>
      </c>
    </row>
    <row r="325" spans="1:6" hidden="1" x14ac:dyDescent="0.25">
      <c r="A325" s="85" t="s">
        <v>2299</v>
      </c>
      <c r="B325" s="85" t="s">
        <v>2299</v>
      </c>
      <c r="C325" s="84" t="s">
        <v>958</v>
      </c>
      <c r="D325" s="84" t="s">
        <v>2300</v>
      </c>
      <c r="E325" s="84" t="s">
        <v>955</v>
      </c>
      <c r="F325" s="84" t="s">
        <v>982</v>
      </c>
    </row>
    <row r="326" spans="1:6" hidden="1" x14ac:dyDescent="0.25">
      <c r="A326" s="85" t="s">
        <v>2301</v>
      </c>
      <c r="B326" s="85" t="s">
        <v>2301</v>
      </c>
      <c r="C326" s="84" t="s">
        <v>958</v>
      </c>
      <c r="D326" s="84" t="s">
        <v>2302</v>
      </c>
      <c r="E326" s="84" t="s">
        <v>955</v>
      </c>
      <c r="F326" s="84" t="s">
        <v>982</v>
      </c>
    </row>
    <row r="327" spans="1:6" hidden="1" x14ac:dyDescent="0.25">
      <c r="A327" s="85" t="s">
        <v>224</v>
      </c>
      <c r="B327" s="85" t="s">
        <v>224</v>
      </c>
      <c r="C327" s="84" t="s">
        <v>958</v>
      </c>
      <c r="D327" s="84" t="s">
        <v>991</v>
      </c>
      <c r="E327" s="84" t="s">
        <v>955</v>
      </c>
      <c r="F327" s="84" t="s">
        <v>982</v>
      </c>
    </row>
    <row r="328" spans="1:6" hidden="1" x14ac:dyDescent="0.25">
      <c r="A328" s="85" t="s">
        <v>2303</v>
      </c>
      <c r="B328" s="85" t="s">
        <v>2303</v>
      </c>
      <c r="C328" s="84" t="s">
        <v>958</v>
      </c>
      <c r="D328" s="84" t="s">
        <v>2304</v>
      </c>
      <c r="E328" s="84" t="s">
        <v>955</v>
      </c>
      <c r="F328" s="84" t="s">
        <v>982</v>
      </c>
    </row>
    <row r="329" spans="1:6" hidden="1" x14ac:dyDescent="0.25">
      <c r="A329" s="85" t="s">
        <v>2305</v>
      </c>
      <c r="B329" s="85" t="s">
        <v>2305</v>
      </c>
      <c r="C329" s="84" t="s">
        <v>958</v>
      </c>
      <c r="D329" s="84" t="s">
        <v>2306</v>
      </c>
      <c r="E329" s="84" t="s">
        <v>955</v>
      </c>
      <c r="F329" s="84" t="s">
        <v>982</v>
      </c>
    </row>
    <row r="330" spans="1:6" hidden="1" x14ac:dyDescent="0.25">
      <c r="A330" s="85" t="s">
        <v>225</v>
      </c>
      <c r="B330" s="85" t="s">
        <v>225</v>
      </c>
      <c r="C330" s="84" t="s">
        <v>958</v>
      </c>
      <c r="D330" s="84" t="s">
        <v>992</v>
      </c>
      <c r="E330" s="84" t="s">
        <v>955</v>
      </c>
      <c r="F330" s="84" t="s">
        <v>982</v>
      </c>
    </row>
    <row r="331" spans="1:6" hidden="1" x14ac:dyDescent="0.25">
      <c r="A331" s="85" t="s">
        <v>2307</v>
      </c>
      <c r="B331" s="85" t="s">
        <v>2307</v>
      </c>
      <c r="C331" s="84" t="s">
        <v>958</v>
      </c>
      <c r="D331" s="84" t="s">
        <v>2308</v>
      </c>
      <c r="E331" s="84" t="s">
        <v>955</v>
      </c>
      <c r="F331" s="84" t="s">
        <v>982</v>
      </c>
    </row>
    <row r="332" spans="1:6" hidden="1" x14ac:dyDescent="0.25">
      <c r="A332" s="85" t="s">
        <v>2309</v>
      </c>
      <c r="B332" s="85" t="s">
        <v>2309</v>
      </c>
      <c r="C332" s="84" t="s">
        <v>958</v>
      </c>
      <c r="D332" s="84" t="s">
        <v>2310</v>
      </c>
      <c r="E332" s="84" t="s">
        <v>955</v>
      </c>
      <c r="F332" s="84" t="s">
        <v>982</v>
      </c>
    </row>
    <row r="333" spans="1:6" hidden="1" x14ac:dyDescent="0.25">
      <c r="A333" s="85" t="s">
        <v>226</v>
      </c>
      <c r="B333" s="85" t="s">
        <v>226</v>
      </c>
      <c r="C333" s="84" t="s">
        <v>958</v>
      </c>
      <c r="D333" s="84" t="s">
        <v>993</v>
      </c>
      <c r="E333" s="84" t="s">
        <v>955</v>
      </c>
      <c r="F333" s="84" t="s">
        <v>982</v>
      </c>
    </row>
    <row r="334" spans="1:6" hidden="1" x14ac:dyDescent="0.25">
      <c r="A334" s="85" t="s">
        <v>2311</v>
      </c>
      <c r="B334" s="85" t="s">
        <v>2311</v>
      </c>
      <c r="C334" s="84" t="s">
        <v>958</v>
      </c>
      <c r="D334" s="84" t="s">
        <v>2312</v>
      </c>
      <c r="E334" s="84" t="s">
        <v>955</v>
      </c>
      <c r="F334" s="84" t="s">
        <v>982</v>
      </c>
    </row>
    <row r="335" spans="1:6" hidden="1" x14ac:dyDescent="0.25">
      <c r="A335" s="85" t="s">
        <v>2313</v>
      </c>
      <c r="B335" s="85" t="s">
        <v>2313</v>
      </c>
      <c r="C335" s="84" t="s">
        <v>958</v>
      </c>
      <c r="D335" s="84" t="s">
        <v>2314</v>
      </c>
      <c r="E335" s="84" t="s">
        <v>955</v>
      </c>
      <c r="F335" s="84" t="s">
        <v>982</v>
      </c>
    </row>
    <row r="336" spans="1:6" hidden="1" x14ac:dyDescent="0.25">
      <c r="A336" s="85" t="s">
        <v>227</v>
      </c>
      <c r="B336" s="85" t="s">
        <v>227</v>
      </c>
      <c r="C336" s="84" t="s">
        <v>958</v>
      </c>
      <c r="D336" s="84" t="s">
        <v>994</v>
      </c>
      <c r="E336" s="84" t="s">
        <v>955</v>
      </c>
      <c r="F336" s="84" t="s">
        <v>982</v>
      </c>
    </row>
    <row r="337" spans="1:6" hidden="1" x14ac:dyDescent="0.25">
      <c r="A337" s="85" t="s">
        <v>2315</v>
      </c>
      <c r="B337" s="85" t="s">
        <v>2315</v>
      </c>
      <c r="C337" s="84" t="s">
        <v>958</v>
      </c>
      <c r="D337" s="84" t="s">
        <v>2316</v>
      </c>
      <c r="E337" s="84" t="s">
        <v>955</v>
      </c>
      <c r="F337" s="84" t="s">
        <v>982</v>
      </c>
    </row>
    <row r="338" spans="1:6" hidden="1" x14ac:dyDescent="0.25">
      <c r="A338" s="85" t="s">
        <v>2317</v>
      </c>
      <c r="B338" s="85" t="s">
        <v>2317</v>
      </c>
      <c r="C338" s="84" t="s">
        <v>958</v>
      </c>
      <c r="D338" s="84" t="s">
        <v>2318</v>
      </c>
      <c r="E338" s="84" t="s">
        <v>955</v>
      </c>
      <c r="F338" s="84" t="s">
        <v>982</v>
      </c>
    </row>
    <row r="339" spans="1:6" hidden="1" x14ac:dyDescent="0.25">
      <c r="A339" s="85" t="s">
        <v>228</v>
      </c>
      <c r="B339" s="85" t="s">
        <v>228</v>
      </c>
      <c r="C339" s="84" t="s">
        <v>958</v>
      </c>
      <c r="D339" s="84" t="s">
        <v>995</v>
      </c>
      <c r="E339" s="84" t="s">
        <v>955</v>
      </c>
      <c r="F339" s="84" t="s">
        <v>982</v>
      </c>
    </row>
    <row r="340" spans="1:6" hidden="1" x14ac:dyDescent="0.25">
      <c r="A340" s="85" t="s">
        <v>2319</v>
      </c>
      <c r="B340" s="85" t="s">
        <v>2319</v>
      </c>
      <c r="C340" s="84" t="s">
        <v>958</v>
      </c>
      <c r="D340" s="84" t="s">
        <v>2320</v>
      </c>
      <c r="E340" s="84" t="s">
        <v>955</v>
      </c>
      <c r="F340" s="84" t="s">
        <v>982</v>
      </c>
    </row>
    <row r="341" spans="1:6" hidden="1" x14ac:dyDescent="0.25">
      <c r="A341" s="85" t="s">
        <v>2321</v>
      </c>
      <c r="B341" s="85" t="s">
        <v>2321</v>
      </c>
      <c r="C341" s="84" t="s">
        <v>958</v>
      </c>
      <c r="D341" s="84" t="s">
        <v>2322</v>
      </c>
      <c r="E341" s="84" t="s">
        <v>955</v>
      </c>
      <c r="F341" s="84" t="s">
        <v>982</v>
      </c>
    </row>
    <row r="342" spans="1:6" hidden="1" x14ac:dyDescent="0.25">
      <c r="A342" s="85" t="s">
        <v>2323</v>
      </c>
      <c r="B342" s="85" t="s">
        <v>2323</v>
      </c>
      <c r="C342" s="84" t="s">
        <v>922</v>
      </c>
      <c r="D342" s="84" t="s">
        <v>2324</v>
      </c>
      <c r="E342" s="84" t="s">
        <v>955</v>
      </c>
      <c r="F342" s="84" t="s">
        <v>204</v>
      </c>
    </row>
    <row r="343" spans="1:6" hidden="1" x14ac:dyDescent="0.25">
      <c r="A343" s="85" t="s">
        <v>266</v>
      </c>
      <c r="B343" s="85" t="s">
        <v>2325</v>
      </c>
      <c r="C343" s="84" t="s">
        <v>922</v>
      </c>
      <c r="D343" s="84" t="s">
        <v>996</v>
      </c>
      <c r="E343" s="84" t="s">
        <v>955</v>
      </c>
      <c r="F343" s="84" t="s">
        <v>204</v>
      </c>
    </row>
    <row r="344" spans="1:6" hidden="1" x14ac:dyDescent="0.25">
      <c r="A344" s="85" t="s">
        <v>2326</v>
      </c>
      <c r="B344" s="85" t="s">
        <v>2326</v>
      </c>
      <c r="C344" s="84" t="s">
        <v>922</v>
      </c>
      <c r="D344" s="84" t="s">
        <v>996</v>
      </c>
      <c r="E344" s="84" t="s">
        <v>955</v>
      </c>
      <c r="F344" s="84" t="s">
        <v>204</v>
      </c>
    </row>
    <row r="345" spans="1:6" hidden="1" x14ac:dyDescent="0.25">
      <c r="A345" s="85" t="s">
        <v>203</v>
      </c>
      <c r="B345" s="85" t="s">
        <v>203</v>
      </c>
      <c r="C345" s="84" t="s">
        <v>958</v>
      </c>
      <c r="D345" s="84" t="s">
        <v>204</v>
      </c>
      <c r="E345" s="84" t="s">
        <v>955</v>
      </c>
      <c r="F345" s="84" t="s">
        <v>204</v>
      </c>
    </row>
    <row r="346" spans="1:6" hidden="1" x14ac:dyDescent="0.25">
      <c r="A346" s="85" t="s">
        <v>2327</v>
      </c>
      <c r="B346" s="85" t="s">
        <v>2327</v>
      </c>
      <c r="C346" s="84" t="s">
        <v>958</v>
      </c>
      <c r="D346" s="84" t="s">
        <v>2328</v>
      </c>
      <c r="E346" s="84" t="s">
        <v>955</v>
      </c>
      <c r="F346" s="84" t="s">
        <v>204</v>
      </c>
    </row>
    <row r="347" spans="1:6" hidden="1" x14ac:dyDescent="0.25">
      <c r="A347" s="85" t="s">
        <v>2329</v>
      </c>
      <c r="B347" s="85" t="s">
        <v>2329</v>
      </c>
      <c r="C347" s="84" t="s">
        <v>922</v>
      </c>
      <c r="D347" s="84" t="s">
        <v>2330</v>
      </c>
      <c r="E347" s="84" t="s">
        <v>955</v>
      </c>
      <c r="F347" s="84" t="s">
        <v>998</v>
      </c>
    </row>
    <row r="348" spans="1:6" hidden="1" x14ac:dyDescent="0.25">
      <c r="A348" s="85" t="s">
        <v>2331</v>
      </c>
      <c r="B348" s="85" t="s">
        <v>2331</v>
      </c>
      <c r="C348" s="84" t="s">
        <v>922</v>
      </c>
      <c r="D348" s="84" t="s">
        <v>2332</v>
      </c>
      <c r="E348" s="84" t="s">
        <v>955</v>
      </c>
      <c r="F348" s="84" t="s">
        <v>998</v>
      </c>
    </row>
    <row r="349" spans="1:6" hidden="1" x14ac:dyDescent="0.25">
      <c r="A349" s="85" t="s">
        <v>2333</v>
      </c>
      <c r="B349" s="85" t="s">
        <v>2333</v>
      </c>
      <c r="C349" s="84" t="s">
        <v>922</v>
      </c>
      <c r="D349" s="84" t="s">
        <v>2334</v>
      </c>
      <c r="E349" s="84" t="s">
        <v>955</v>
      </c>
      <c r="F349" s="84" t="s">
        <v>998</v>
      </c>
    </row>
    <row r="350" spans="1:6" hidden="1" x14ac:dyDescent="0.25">
      <c r="A350" s="85" t="s">
        <v>2335</v>
      </c>
      <c r="B350" s="85" t="s">
        <v>2335</v>
      </c>
      <c r="C350" s="84" t="s">
        <v>922</v>
      </c>
      <c r="D350" s="84" t="s">
        <v>2336</v>
      </c>
      <c r="E350" s="84" t="s">
        <v>955</v>
      </c>
      <c r="F350" s="84" t="s">
        <v>998</v>
      </c>
    </row>
    <row r="351" spans="1:6" hidden="1" x14ac:dyDescent="0.25">
      <c r="A351" s="85" t="s">
        <v>2337</v>
      </c>
      <c r="B351" s="85" t="s">
        <v>2337</v>
      </c>
      <c r="C351" s="84" t="s">
        <v>922</v>
      </c>
      <c r="D351" s="84" t="s">
        <v>2338</v>
      </c>
      <c r="E351" s="84" t="s">
        <v>955</v>
      </c>
      <c r="F351" s="84" t="s">
        <v>998</v>
      </c>
    </row>
    <row r="352" spans="1:6" hidden="1" x14ac:dyDescent="0.25">
      <c r="A352" s="85" t="s">
        <v>2339</v>
      </c>
      <c r="B352" s="85" t="s">
        <v>2339</v>
      </c>
      <c r="C352" s="84" t="s">
        <v>922</v>
      </c>
      <c r="D352" s="84" t="s">
        <v>2340</v>
      </c>
      <c r="E352" s="84" t="s">
        <v>955</v>
      </c>
      <c r="F352" s="84" t="s">
        <v>998</v>
      </c>
    </row>
    <row r="353" spans="1:6" hidden="1" x14ac:dyDescent="0.25">
      <c r="A353" s="85" t="s">
        <v>2341</v>
      </c>
      <c r="B353" s="85" t="s">
        <v>2341</v>
      </c>
      <c r="C353" s="84" t="s">
        <v>922</v>
      </c>
      <c r="D353" s="84" t="s">
        <v>2342</v>
      </c>
      <c r="E353" s="84" t="s">
        <v>955</v>
      </c>
      <c r="F353" s="84" t="s">
        <v>998</v>
      </c>
    </row>
    <row r="354" spans="1:6" hidden="1" x14ac:dyDescent="0.25">
      <c r="A354" s="85" t="s">
        <v>2343</v>
      </c>
      <c r="B354" s="85" t="s">
        <v>2343</v>
      </c>
      <c r="C354" s="84" t="s">
        <v>922</v>
      </c>
      <c r="D354" s="84" t="s">
        <v>2344</v>
      </c>
      <c r="E354" s="84" t="s">
        <v>955</v>
      </c>
      <c r="F354" s="84" t="s">
        <v>998</v>
      </c>
    </row>
    <row r="355" spans="1:6" hidden="1" x14ac:dyDescent="0.25">
      <c r="A355" s="85" t="s">
        <v>2345</v>
      </c>
      <c r="B355" s="85" t="s">
        <v>2345</v>
      </c>
      <c r="C355" s="84" t="s">
        <v>922</v>
      </c>
      <c r="D355" s="84" t="s">
        <v>2346</v>
      </c>
      <c r="E355" s="84" t="s">
        <v>955</v>
      </c>
      <c r="F355" s="84" t="s">
        <v>998</v>
      </c>
    </row>
    <row r="356" spans="1:6" hidden="1" x14ac:dyDescent="0.25">
      <c r="A356" s="85" t="s">
        <v>2347</v>
      </c>
      <c r="B356" s="85" t="s">
        <v>2347</v>
      </c>
      <c r="C356" s="84" t="s">
        <v>922</v>
      </c>
      <c r="D356" s="84" t="s">
        <v>2348</v>
      </c>
      <c r="E356" s="84" t="s">
        <v>955</v>
      </c>
      <c r="F356" s="84" t="s">
        <v>998</v>
      </c>
    </row>
    <row r="357" spans="1:6" hidden="1" x14ac:dyDescent="0.25">
      <c r="A357" s="85" t="s">
        <v>2349</v>
      </c>
      <c r="B357" s="85" t="s">
        <v>2349</v>
      </c>
      <c r="C357" s="84" t="s">
        <v>922</v>
      </c>
      <c r="D357" s="84" t="s">
        <v>2350</v>
      </c>
      <c r="E357" s="84" t="s">
        <v>955</v>
      </c>
      <c r="F357" s="84" t="s">
        <v>998</v>
      </c>
    </row>
    <row r="358" spans="1:6" x14ac:dyDescent="0.25">
      <c r="A358" s="85" t="s">
        <v>2351</v>
      </c>
      <c r="B358" s="85" t="s">
        <v>2351</v>
      </c>
      <c r="C358" s="84" t="s">
        <v>922</v>
      </c>
      <c r="D358" s="84" t="s">
        <v>2352</v>
      </c>
      <c r="E358" s="84" t="s">
        <v>955</v>
      </c>
      <c r="F358" s="84" t="s">
        <v>998</v>
      </c>
    </row>
    <row r="359" spans="1:6" x14ac:dyDescent="0.25">
      <c r="A359" s="85" t="s">
        <v>2353</v>
      </c>
      <c r="B359" s="85" t="s">
        <v>2353</v>
      </c>
      <c r="C359" s="84" t="s">
        <v>922</v>
      </c>
      <c r="D359" s="84" t="s">
        <v>2354</v>
      </c>
      <c r="E359" s="84" t="s">
        <v>955</v>
      </c>
      <c r="F359" s="84" t="s">
        <v>998</v>
      </c>
    </row>
    <row r="360" spans="1:6" x14ac:dyDescent="0.25">
      <c r="A360" s="85" t="s">
        <v>2355</v>
      </c>
      <c r="B360" s="85" t="s">
        <v>2355</v>
      </c>
      <c r="C360" s="84" t="s">
        <v>922</v>
      </c>
      <c r="D360" s="84" t="s">
        <v>2356</v>
      </c>
      <c r="E360" s="84" t="s">
        <v>955</v>
      </c>
      <c r="F360" s="84" t="s">
        <v>998</v>
      </c>
    </row>
    <row r="361" spans="1:6" hidden="1" x14ac:dyDescent="0.25">
      <c r="A361" s="85" t="s">
        <v>272</v>
      </c>
      <c r="B361" s="85" t="s">
        <v>2357</v>
      </c>
      <c r="C361" s="84" t="s">
        <v>922</v>
      </c>
      <c r="D361" s="84" t="s">
        <v>997</v>
      </c>
      <c r="E361" s="84" t="s">
        <v>955</v>
      </c>
      <c r="F361" s="84" t="s">
        <v>998</v>
      </c>
    </row>
    <row r="362" spans="1:6" hidden="1" x14ac:dyDescent="0.25">
      <c r="A362" s="85" t="s">
        <v>283</v>
      </c>
      <c r="B362" s="85" t="s">
        <v>2358</v>
      </c>
      <c r="C362" s="84" t="s">
        <v>922</v>
      </c>
      <c r="D362" s="84" t="s">
        <v>999</v>
      </c>
      <c r="E362" s="84" t="s">
        <v>955</v>
      </c>
      <c r="F362" s="84" t="s">
        <v>998</v>
      </c>
    </row>
    <row r="363" spans="1:6" hidden="1" x14ac:dyDescent="0.25">
      <c r="A363" s="85" t="s">
        <v>284</v>
      </c>
      <c r="B363" s="85" t="s">
        <v>2359</v>
      </c>
      <c r="C363" s="84" t="s">
        <v>922</v>
      </c>
      <c r="D363" s="84" t="s">
        <v>1000</v>
      </c>
      <c r="E363" s="84" t="s">
        <v>955</v>
      </c>
      <c r="F363" s="84" t="s">
        <v>998</v>
      </c>
    </row>
    <row r="364" spans="1:6" hidden="1" x14ac:dyDescent="0.25">
      <c r="A364" s="85" t="s">
        <v>285</v>
      </c>
      <c r="B364" s="85" t="s">
        <v>2360</v>
      </c>
      <c r="C364" s="84" t="s">
        <v>922</v>
      </c>
      <c r="D364" s="84" t="s">
        <v>1001</v>
      </c>
      <c r="E364" s="84" t="s">
        <v>955</v>
      </c>
      <c r="F364" s="84" t="s">
        <v>998</v>
      </c>
    </row>
    <row r="365" spans="1:6" hidden="1" x14ac:dyDescent="0.25">
      <c r="A365" s="85" t="s">
        <v>286</v>
      </c>
      <c r="B365" s="85" t="s">
        <v>2361</v>
      </c>
      <c r="C365" s="84" t="s">
        <v>922</v>
      </c>
      <c r="D365" s="84" t="s">
        <v>1002</v>
      </c>
      <c r="E365" s="84" t="s">
        <v>955</v>
      </c>
      <c r="F365" s="84" t="s">
        <v>998</v>
      </c>
    </row>
    <row r="366" spans="1:6" hidden="1" x14ac:dyDescent="0.25">
      <c r="A366" s="85" t="s">
        <v>2362</v>
      </c>
      <c r="B366" s="85" t="s">
        <v>2363</v>
      </c>
      <c r="C366" s="84" t="s">
        <v>922</v>
      </c>
      <c r="D366" s="84" t="s">
        <v>2364</v>
      </c>
      <c r="E366" s="84" t="s">
        <v>955</v>
      </c>
      <c r="F366" s="84" t="s">
        <v>998</v>
      </c>
    </row>
    <row r="367" spans="1:6" hidden="1" x14ac:dyDescent="0.25">
      <c r="A367" s="85" t="s">
        <v>287</v>
      </c>
      <c r="B367" s="85" t="s">
        <v>2365</v>
      </c>
      <c r="C367" s="84" t="s">
        <v>922</v>
      </c>
      <c r="D367" s="84" t="s">
        <v>1003</v>
      </c>
      <c r="E367" s="84" t="s">
        <v>955</v>
      </c>
      <c r="F367" s="84" t="s">
        <v>998</v>
      </c>
    </row>
    <row r="368" spans="1:6" hidden="1" x14ac:dyDescent="0.25">
      <c r="A368" s="85" t="s">
        <v>288</v>
      </c>
      <c r="B368" s="85" t="s">
        <v>2366</v>
      </c>
      <c r="C368" s="84" t="s">
        <v>922</v>
      </c>
      <c r="D368" s="84" t="s">
        <v>1004</v>
      </c>
      <c r="E368" s="84" t="s">
        <v>955</v>
      </c>
      <c r="F368" s="84" t="s">
        <v>998</v>
      </c>
    </row>
    <row r="369" spans="1:6" hidden="1" x14ac:dyDescent="0.25">
      <c r="A369" s="85" t="s">
        <v>289</v>
      </c>
      <c r="B369" s="85" t="s">
        <v>2367</v>
      </c>
      <c r="C369" s="84" t="s">
        <v>922</v>
      </c>
      <c r="D369" s="84" t="s">
        <v>1005</v>
      </c>
      <c r="E369" s="84" t="s">
        <v>955</v>
      </c>
      <c r="F369" s="84" t="s">
        <v>998</v>
      </c>
    </row>
    <row r="370" spans="1:6" hidden="1" x14ac:dyDescent="0.25">
      <c r="A370" s="85" t="s">
        <v>290</v>
      </c>
      <c r="B370" s="85" t="s">
        <v>2368</v>
      </c>
      <c r="C370" s="84" t="s">
        <v>922</v>
      </c>
      <c r="D370" s="84" t="s">
        <v>1006</v>
      </c>
      <c r="E370" s="84" t="s">
        <v>955</v>
      </c>
      <c r="F370" s="84" t="s">
        <v>998</v>
      </c>
    </row>
    <row r="371" spans="1:6" hidden="1" x14ac:dyDescent="0.25">
      <c r="A371" s="85" t="s">
        <v>291</v>
      </c>
      <c r="B371" s="85" t="s">
        <v>2369</v>
      </c>
      <c r="C371" s="84" t="s">
        <v>922</v>
      </c>
      <c r="D371" s="84" t="s">
        <v>1007</v>
      </c>
      <c r="E371" s="84" t="s">
        <v>955</v>
      </c>
      <c r="F371" s="84" t="s">
        <v>998</v>
      </c>
    </row>
    <row r="372" spans="1:6" hidden="1" x14ac:dyDescent="0.25">
      <c r="A372" s="85" t="s">
        <v>292</v>
      </c>
      <c r="B372" s="85" t="s">
        <v>2370</v>
      </c>
      <c r="C372" s="84" t="s">
        <v>922</v>
      </c>
      <c r="D372" s="84" t="s">
        <v>1008</v>
      </c>
      <c r="E372" s="84" t="s">
        <v>955</v>
      </c>
      <c r="F372" s="84" t="s">
        <v>998</v>
      </c>
    </row>
    <row r="373" spans="1:6" x14ac:dyDescent="0.25">
      <c r="A373" s="85" t="s">
        <v>293</v>
      </c>
      <c r="B373" s="85" t="s">
        <v>2371</v>
      </c>
      <c r="C373" s="84" t="s">
        <v>922</v>
      </c>
      <c r="D373" s="84" t="s">
        <v>1009</v>
      </c>
      <c r="E373" s="84" t="s">
        <v>955</v>
      </c>
      <c r="F373" s="84" t="s">
        <v>998</v>
      </c>
    </row>
    <row r="374" spans="1:6" x14ac:dyDescent="0.25">
      <c r="A374" s="85" t="s">
        <v>294</v>
      </c>
      <c r="B374" s="85" t="s">
        <v>2372</v>
      </c>
      <c r="C374" s="84" t="s">
        <v>922</v>
      </c>
      <c r="D374" s="84" t="s">
        <v>1010</v>
      </c>
      <c r="E374" s="84" t="s">
        <v>955</v>
      </c>
      <c r="F374" s="84" t="s">
        <v>998</v>
      </c>
    </row>
    <row r="375" spans="1:6" x14ac:dyDescent="0.25">
      <c r="A375" s="85" t="s">
        <v>295</v>
      </c>
      <c r="B375" s="85" t="s">
        <v>2373</v>
      </c>
      <c r="C375" s="84" t="s">
        <v>922</v>
      </c>
      <c r="D375" s="84" t="s">
        <v>1011</v>
      </c>
      <c r="E375" s="84" t="s">
        <v>955</v>
      </c>
      <c r="F375" s="84" t="s">
        <v>998</v>
      </c>
    </row>
    <row r="376" spans="1:6" x14ac:dyDescent="0.25">
      <c r="A376" s="85" t="s">
        <v>296</v>
      </c>
      <c r="B376" s="85" t="s">
        <v>2374</v>
      </c>
      <c r="C376" s="84" t="s">
        <v>922</v>
      </c>
      <c r="D376" s="84" t="s">
        <v>1012</v>
      </c>
      <c r="E376" s="84" t="s">
        <v>955</v>
      </c>
      <c r="F376" s="84" t="s">
        <v>998</v>
      </c>
    </row>
    <row r="377" spans="1:6" x14ac:dyDescent="0.25">
      <c r="A377" s="85" t="s">
        <v>297</v>
      </c>
      <c r="B377" s="85" t="s">
        <v>2375</v>
      </c>
      <c r="C377" s="84" t="s">
        <v>922</v>
      </c>
      <c r="D377" s="84" t="s">
        <v>1013</v>
      </c>
      <c r="E377" s="84" t="s">
        <v>955</v>
      </c>
      <c r="F377" s="84" t="s">
        <v>998</v>
      </c>
    </row>
    <row r="378" spans="1:6" hidden="1" x14ac:dyDescent="0.25">
      <c r="A378" s="85" t="s">
        <v>2376</v>
      </c>
      <c r="B378" s="85" t="s">
        <v>2376</v>
      </c>
      <c r="C378" s="84" t="s">
        <v>922</v>
      </c>
      <c r="D378" s="84" t="s">
        <v>997</v>
      </c>
      <c r="E378" s="84" t="s">
        <v>955</v>
      </c>
      <c r="F378" s="84" t="s">
        <v>998</v>
      </c>
    </row>
    <row r="379" spans="1:6" hidden="1" x14ac:dyDescent="0.25">
      <c r="A379" s="85" t="s">
        <v>2377</v>
      </c>
      <c r="B379" s="85" t="s">
        <v>2377</v>
      </c>
      <c r="C379" s="84" t="s">
        <v>922</v>
      </c>
      <c r="D379" s="84" t="s">
        <v>999</v>
      </c>
      <c r="E379" s="84" t="s">
        <v>955</v>
      </c>
      <c r="F379" s="84" t="s">
        <v>998</v>
      </c>
    </row>
    <row r="380" spans="1:6" hidden="1" x14ac:dyDescent="0.25">
      <c r="A380" s="85" t="s">
        <v>2378</v>
      </c>
      <c r="B380" s="85" t="s">
        <v>2378</v>
      </c>
      <c r="C380" s="84" t="s">
        <v>922</v>
      </c>
      <c r="D380" s="84" t="s">
        <v>1000</v>
      </c>
      <c r="E380" s="84" t="s">
        <v>955</v>
      </c>
      <c r="F380" s="84" t="s">
        <v>998</v>
      </c>
    </row>
    <row r="381" spans="1:6" hidden="1" x14ac:dyDescent="0.25">
      <c r="A381" s="85" t="s">
        <v>2379</v>
      </c>
      <c r="B381" s="85" t="s">
        <v>2379</v>
      </c>
      <c r="C381" s="84" t="s">
        <v>922</v>
      </c>
      <c r="D381" s="84" t="s">
        <v>1001</v>
      </c>
      <c r="E381" s="84" t="s">
        <v>955</v>
      </c>
      <c r="F381" s="84" t="s">
        <v>998</v>
      </c>
    </row>
    <row r="382" spans="1:6" hidden="1" x14ac:dyDescent="0.25">
      <c r="A382" s="85" t="s">
        <v>2380</v>
      </c>
      <c r="B382" s="85" t="s">
        <v>2380</v>
      </c>
      <c r="C382" s="84" t="s">
        <v>922</v>
      </c>
      <c r="D382" s="84" t="s">
        <v>1002</v>
      </c>
      <c r="E382" s="84" t="s">
        <v>955</v>
      </c>
      <c r="F382" s="84" t="s">
        <v>998</v>
      </c>
    </row>
    <row r="383" spans="1:6" hidden="1" x14ac:dyDescent="0.25">
      <c r="A383" s="85" t="s">
        <v>2381</v>
      </c>
      <c r="B383" s="85" t="s">
        <v>2381</v>
      </c>
      <c r="C383" s="84" t="s">
        <v>922</v>
      </c>
      <c r="D383" s="84" t="s">
        <v>1003</v>
      </c>
      <c r="E383" s="84" t="s">
        <v>955</v>
      </c>
      <c r="F383" s="84" t="s">
        <v>998</v>
      </c>
    </row>
    <row r="384" spans="1:6" hidden="1" x14ac:dyDescent="0.25">
      <c r="A384" s="85" t="s">
        <v>2382</v>
      </c>
      <c r="B384" s="85" t="s">
        <v>2382</v>
      </c>
      <c r="C384" s="84" t="s">
        <v>922</v>
      </c>
      <c r="D384" s="84" t="s">
        <v>1004</v>
      </c>
      <c r="E384" s="84" t="s">
        <v>955</v>
      </c>
      <c r="F384" s="84" t="s">
        <v>998</v>
      </c>
    </row>
    <row r="385" spans="1:6" hidden="1" x14ac:dyDescent="0.25">
      <c r="A385" s="85" t="s">
        <v>2383</v>
      </c>
      <c r="B385" s="85" t="s">
        <v>2383</v>
      </c>
      <c r="C385" s="84" t="s">
        <v>922</v>
      </c>
      <c r="D385" s="84" t="s">
        <v>1005</v>
      </c>
      <c r="E385" s="84" t="s">
        <v>955</v>
      </c>
      <c r="F385" s="84" t="s">
        <v>998</v>
      </c>
    </row>
    <row r="386" spans="1:6" hidden="1" x14ac:dyDescent="0.25">
      <c r="A386" s="85" t="s">
        <v>2384</v>
      </c>
      <c r="B386" s="85" t="s">
        <v>2384</v>
      </c>
      <c r="C386" s="84" t="s">
        <v>922</v>
      </c>
      <c r="D386" s="84" t="s">
        <v>1006</v>
      </c>
      <c r="E386" s="84" t="s">
        <v>955</v>
      </c>
      <c r="F386" s="84" t="s">
        <v>998</v>
      </c>
    </row>
    <row r="387" spans="1:6" hidden="1" x14ac:dyDescent="0.25">
      <c r="A387" s="85" t="s">
        <v>2385</v>
      </c>
      <c r="B387" s="85" t="s">
        <v>2385</v>
      </c>
      <c r="C387" s="84" t="s">
        <v>922</v>
      </c>
      <c r="D387" s="84" t="s">
        <v>1007</v>
      </c>
      <c r="E387" s="84" t="s">
        <v>955</v>
      </c>
      <c r="F387" s="84" t="s">
        <v>998</v>
      </c>
    </row>
    <row r="388" spans="1:6" hidden="1" x14ac:dyDescent="0.25">
      <c r="A388" s="85" t="s">
        <v>2386</v>
      </c>
      <c r="B388" s="85" t="s">
        <v>2386</v>
      </c>
      <c r="C388" s="84" t="s">
        <v>922</v>
      </c>
      <c r="D388" s="84" t="s">
        <v>1008</v>
      </c>
      <c r="E388" s="84" t="s">
        <v>955</v>
      </c>
      <c r="F388" s="84" t="s">
        <v>998</v>
      </c>
    </row>
    <row r="389" spans="1:6" x14ac:dyDescent="0.25">
      <c r="A389" s="85" t="s">
        <v>2387</v>
      </c>
      <c r="B389" s="85" t="s">
        <v>2387</v>
      </c>
      <c r="C389" s="84" t="s">
        <v>922</v>
      </c>
      <c r="D389" s="84" t="s">
        <v>1009</v>
      </c>
      <c r="E389" s="84" t="s">
        <v>955</v>
      </c>
      <c r="F389" s="84" t="s">
        <v>998</v>
      </c>
    </row>
    <row r="390" spans="1:6" x14ac:dyDescent="0.25">
      <c r="A390" s="85" t="s">
        <v>2388</v>
      </c>
      <c r="B390" s="85" t="s">
        <v>2388</v>
      </c>
      <c r="C390" s="84" t="s">
        <v>922</v>
      </c>
      <c r="D390" s="84" t="s">
        <v>1010</v>
      </c>
      <c r="E390" s="84" t="s">
        <v>955</v>
      </c>
      <c r="F390" s="84" t="s">
        <v>998</v>
      </c>
    </row>
    <row r="391" spans="1:6" x14ac:dyDescent="0.25">
      <c r="A391" s="85" t="s">
        <v>2389</v>
      </c>
      <c r="B391" s="85" t="s">
        <v>2389</v>
      </c>
      <c r="C391" s="84" t="s">
        <v>922</v>
      </c>
      <c r="D391" s="84" t="s">
        <v>1011</v>
      </c>
      <c r="E391" s="84" t="s">
        <v>955</v>
      </c>
      <c r="F391" s="84" t="s">
        <v>998</v>
      </c>
    </row>
    <row r="392" spans="1:6" x14ac:dyDescent="0.25">
      <c r="A392" s="85" t="s">
        <v>2390</v>
      </c>
      <c r="B392" s="85" t="s">
        <v>2390</v>
      </c>
      <c r="C392" s="84" t="s">
        <v>922</v>
      </c>
      <c r="D392" s="84" t="s">
        <v>1012</v>
      </c>
      <c r="E392" s="84" t="s">
        <v>955</v>
      </c>
      <c r="F392" s="84" t="s">
        <v>998</v>
      </c>
    </row>
    <row r="393" spans="1:6" x14ac:dyDescent="0.25">
      <c r="A393" s="85" t="s">
        <v>2391</v>
      </c>
      <c r="B393" s="85" t="s">
        <v>2391</v>
      </c>
      <c r="C393" s="84" t="s">
        <v>922</v>
      </c>
      <c r="D393" s="84" t="s">
        <v>1013</v>
      </c>
      <c r="E393" s="84" t="s">
        <v>955</v>
      </c>
      <c r="F393" s="84" t="s">
        <v>998</v>
      </c>
    </row>
    <row r="394" spans="1:6" hidden="1" x14ac:dyDescent="0.25">
      <c r="A394" s="85" t="s">
        <v>199</v>
      </c>
      <c r="B394" s="85" t="s">
        <v>199</v>
      </c>
      <c r="C394" s="84" t="s">
        <v>958</v>
      </c>
      <c r="D394" s="84" t="s">
        <v>200</v>
      </c>
      <c r="E394" s="84" t="s">
        <v>955</v>
      </c>
      <c r="F394" s="84" t="s">
        <v>998</v>
      </c>
    </row>
    <row r="395" spans="1:6" hidden="1" x14ac:dyDescent="0.25">
      <c r="A395" s="85" t="s">
        <v>2392</v>
      </c>
      <c r="B395" s="85" t="s">
        <v>2392</v>
      </c>
      <c r="C395" s="84" t="s">
        <v>958</v>
      </c>
      <c r="D395" s="84" t="s">
        <v>2393</v>
      </c>
      <c r="E395" s="84" t="s">
        <v>955</v>
      </c>
      <c r="F395" s="84" t="s">
        <v>998</v>
      </c>
    </row>
    <row r="396" spans="1:6" hidden="1" x14ac:dyDescent="0.25">
      <c r="A396" s="85" t="s">
        <v>201</v>
      </c>
      <c r="B396" s="85" t="s">
        <v>201</v>
      </c>
      <c r="C396" s="84" t="s">
        <v>958</v>
      </c>
      <c r="D396" s="84" t="s">
        <v>202</v>
      </c>
      <c r="E396" s="84" t="s">
        <v>955</v>
      </c>
      <c r="F396" s="84" t="s">
        <v>998</v>
      </c>
    </row>
    <row r="397" spans="1:6" hidden="1" x14ac:dyDescent="0.25">
      <c r="A397" s="85" t="s">
        <v>2394</v>
      </c>
      <c r="B397" s="85" t="s">
        <v>2394</v>
      </c>
      <c r="C397" s="84" t="s">
        <v>958</v>
      </c>
      <c r="D397" s="84" t="s">
        <v>2395</v>
      </c>
      <c r="E397" s="84" t="s">
        <v>955</v>
      </c>
      <c r="F397" s="84" t="s">
        <v>998</v>
      </c>
    </row>
    <row r="398" spans="1:6" hidden="1" x14ac:dyDescent="0.25">
      <c r="A398" s="85" t="s">
        <v>2396</v>
      </c>
      <c r="B398" s="85" t="s">
        <v>2396</v>
      </c>
      <c r="C398" s="84" t="s">
        <v>958</v>
      </c>
      <c r="D398" s="84" t="s">
        <v>2397</v>
      </c>
      <c r="E398" s="84" t="s">
        <v>955</v>
      </c>
      <c r="F398" s="84" t="s">
        <v>998</v>
      </c>
    </row>
    <row r="399" spans="1:6" hidden="1" x14ac:dyDescent="0.25">
      <c r="A399" s="85" t="s">
        <v>215</v>
      </c>
      <c r="B399" s="85" t="s">
        <v>215</v>
      </c>
      <c r="C399" s="84" t="s">
        <v>958</v>
      </c>
      <c r="D399" s="84" t="s">
        <v>216</v>
      </c>
      <c r="E399" s="84" t="s">
        <v>955</v>
      </c>
      <c r="F399" s="84" t="s">
        <v>998</v>
      </c>
    </row>
    <row r="400" spans="1:6" hidden="1" x14ac:dyDescent="0.25">
      <c r="A400" s="85" t="s">
        <v>2398</v>
      </c>
      <c r="B400" s="85" t="s">
        <v>2398</v>
      </c>
      <c r="C400" s="84" t="s">
        <v>958</v>
      </c>
      <c r="D400" s="84" t="s">
        <v>2399</v>
      </c>
      <c r="E400" s="84" t="s">
        <v>955</v>
      </c>
      <c r="F400" s="84" t="s">
        <v>998</v>
      </c>
    </row>
    <row r="401" spans="1:6" hidden="1" x14ac:dyDescent="0.25">
      <c r="A401" s="85" t="s">
        <v>1014</v>
      </c>
      <c r="B401" s="85" t="s">
        <v>1014</v>
      </c>
      <c r="C401" s="84" t="s">
        <v>958</v>
      </c>
      <c r="D401" s="84" t="s">
        <v>1015</v>
      </c>
      <c r="E401" s="84" t="s">
        <v>955</v>
      </c>
      <c r="F401" s="84" t="s">
        <v>998</v>
      </c>
    </row>
    <row r="402" spans="1:6" hidden="1" x14ac:dyDescent="0.25">
      <c r="A402" s="85" t="s">
        <v>2400</v>
      </c>
      <c r="B402" s="85" t="s">
        <v>2400</v>
      </c>
      <c r="C402" s="84" t="s">
        <v>958</v>
      </c>
      <c r="D402" s="84" t="s">
        <v>2401</v>
      </c>
      <c r="E402" s="84" t="s">
        <v>955</v>
      </c>
      <c r="F402" s="84" t="s">
        <v>998</v>
      </c>
    </row>
    <row r="403" spans="1:6" hidden="1" x14ac:dyDescent="0.25">
      <c r="A403" s="85" t="s">
        <v>1016</v>
      </c>
      <c r="B403" s="85" t="s">
        <v>1016</v>
      </c>
      <c r="C403" s="84" t="s">
        <v>958</v>
      </c>
      <c r="D403" s="84" t="s">
        <v>1017</v>
      </c>
      <c r="E403" s="84" t="s">
        <v>955</v>
      </c>
      <c r="F403" s="84" t="s">
        <v>998</v>
      </c>
    </row>
    <row r="404" spans="1:6" hidden="1" x14ac:dyDescent="0.25">
      <c r="A404" s="85" t="s">
        <v>2402</v>
      </c>
      <c r="B404" s="85" t="s">
        <v>2402</v>
      </c>
      <c r="C404" s="84" t="s">
        <v>958</v>
      </c>
      <c r="D404" s="84" t="s">
        <v>2403</v>
      </c>
      <c r="E404" s="84" t="s">
        <v>955</v>
      </c>
      <c r="F404" s="84" t="s">
        <v>998</v>
      </c>
    </row>
    <row r="405" spans="1:6" hidden="1" x14ac:dyDescent="0.25">
      <c r="A405" s="85" t="s">
        <v>1018</v>
      </c>
      <c r="B405" s="85" t="s">
        <v>1018</v>
      </c>
      <c r="C405" s="84" t="s">
        <v>958</v>
      </c>
      <c r="D405" s="84" t="s">
        <v>1019</v>
      </c>
      <c r="E405" s="84" t="s">
        <v>955</v>
      </c>
      <c r="F405" s="84" t="s">
        <v>998</v>
      </c>
    </row>
    <row r="406" spans="1:6" hidden="1" x14ac:dyDescent="0.25">
      <c r="A406" s="85" t="s">
        <v>2404</v>
      </c>
      <c r="B406" s="85" t="s">
        <v>2404</v>
      </c>
      <c r="C406" s="84" t="s">
        <v>958</v>
      </c>
      <c r="D406" s="84" t="s">
        <v>2405</v>
      </c>
      <c r="E406" s="84" t="s">
        <v>955</v>
      </c>
      <c r="F406" s="84" t="s">
        <v>998</v>
      </c>
    </row>
    <row r="407" spans="1:6" hidden="1" x14ac:dyDescent="0.25">
      <c r="A407" s="85" t="s">
        <v>219</v>
      </c>
      <c r="B407" s="85" t="s">
        <v>219</v>
      </c>
      <c r="C407" s="84" t="s">
        <v>958</v>
      </c>
      <c r="D407" s="84" t="s">
        <v>220</v>
      </c>
      <c r="E407" s="84" t="s">
        <v>955</v>
      </c>
      <c r="F407" s="84" t="s">
        <v>998</v>
      </c>
    </row>
    <row r="408" spans="1:6" hidden="1" x14ac:dyDescent="0.25">
      <c r="A408" s="85" t="s">
        <v>2406</v>
      </c>
      <c r="B408" s="85" t="s">
        <v>2406</v>
      </c>
      <c r="C408" s="84" t="s">
        <v>958</v>
      </c>
      <c r="D408" s="84" t="s">
        <v>2407</v>
      </c>
      <c r="E408" s="84" t="s">
        <v>955</v>
      </c>
      <c r="F408" s="84" t="s">
        <v>998</v>
      </c>
    </row>
    <row r="409" spans="1:6" hidden="1" x14ac:dyDescent="0.25">
      <c r="A409" s="85" t="s">
        <v>1020</v>
      </c>
      <c r="B409" s="85" t="s">
        <v>1020</v>
      </c>
      <c r="C409" s="84" t="s">
        <v>958</v>
      </c>
      <c r="D409" s="84" t="s">
        <v>1021</v>
      </c>
      <c r="E409" s="84" t="s">
        <v>955</v>
      </c>
      <c r="F409" s="84" t="s">
        <v>998</v>
      </c>
    </row>
    <row r="410" spans="1:6" hidden="1" x14ac:dyDescent="0.25">
      <c r="A410" s="85" t="s">
        <v>2408</v>
      </c>
      <c r="B410" s="85" t="s">
        <v>2408</v>
      </c>
      <c r="C410" s="84" t="s">
        <v>958</v>
      </c>
      <c r="D410" s="84" t="s">
        <v>2409</v>
      </c>
      <c r="E410" s="84" t="s">
        <v>955</v>
      </c>
      <c r="F410" s="84" t="s">
        <v>998</v>
      </c>
    </row>
    <row r="411" spans="1:6" hidden="1" x14ac:dyDescent="0.25">
      <c r="A411" s="85" t="s">
        <v>230</v>
      </c>
      <c r="B411" s="85" t="s">
        <v>230</v>
      </c>
      <c r="C411" s="84" t="s">
        <v>958</v>
      </c>
      <c r="D411" s="84" t="s">
        <v>1022</v>
      </c>
      <c r="E411" s="84" t="s">
        <v>955</v>
      </c>
      <c r="F411" s="84" t="s">
        <v>998</v>
      </c>
    </row>
    <row r="412" spans="1:6" hidden="1" x14ac:dyDescent="0.25">
      <c r="A412" s="85" t="s">
        <v>2410</v>
      </c>
      <c r="B412" s="85" t="s">
        <v>2410</v>
      </c>
      <c r="C412" s="84" t="s">
        <v>958</v>
      </c>
      <c r="D412" s="84" t="s">
        <v>2411</v>
      </c>
      <c r="E412" s="84" t="s">
        <v>955</v>
      </c>
      <c r="F412" s="84" t="s">
        <v>998</v>
      </c>
    </row>
    <row r="413" spans="1:6" hidden="1" x14ac:dyDescent="0.25">
      <c r="A413" s="85" t="s">
        <v>2412</v>
      </c>
      <c r="B413" s="85" t="s">
        <v>2412</v>
      </c>
      <c r="C413" s="84" t="s">
        <v>958</v>
      </c>
      <c r="D413" s="84" t="s">
        <v>2413</v>
      </c>
      <c r="E413" s="84" t="s">
        <v>955</v>
      </c>
      <c r="F413" s="84" t="s">
        <v>998</v>
      </c>
    </row>
    <row r="414" spans="1:6" hidden="1" x14ac:dyDescent="0.25">
      <c r="A414" s="85" t="s">
        <v>2414</v>
      </c>
      <c r="B414" s="85" t="s">
        <v>2414</v>
      </c>
      <c r="C414" s="84" t="s">
        <v>958</v>
      </c>
      <c r="D414" s="84" t="s">
        <v>2415</v>
      </c>
      <c r="E414" s="84" t="s">
        <v>955</v>
      </c>
      <c r="F414" s="84" t="s">
        <v>998</v>
      </c>
    </row>
    <row r="415" spans="1:6" hidden="1" x14ac:dyDescent="0.25">
      <c r="A415" s="85" t="s">
        <v>232</v>
      </c>
      <c r="B415" s="85" t="s">
        <v>232</v>
      </c>
      <c r="C415" s="84" t="s">
        <v>958</v>
      </c>
      <c r="D415" s="84" t="s">
        <v>233</v>
      </c>
      <c r="E415" s="84" t="s">
        <v>955</v>
      </c>
      <c r="F415" s="84" t="s">
        <v>998</v>
      </c>
    </row>
    <row r="416" spans="1:6" hidden="1" x14ac:dyDescent="0.25">
      <c r="A416" s="85" t="s">
        <v>2416</v>
      </c>
      <c r="B416" s="85" t="s">
        <v>2416</v>
      </c>
      <c r="C416" s="84" t="s">
        <v>958</v>
      </c>
      <c r="D416" s="84" t="s">
        <v>2417</v>
      </c>
      <c r="E416" s="84" t="s">
        <v>955</v>
      </c>
      <c r="F416" s="84" t="s">
        <v>998</v>
      </c>
    </row>
    <row r="417" spans="1:6" hidden="1" x14ac:dyDescent="0.25">
      <c r="A417" s="85" t="s">
        <v>2418</v>
      </c>
      <c r="B417" s="85" t="s">
        <v>2418</v>
      </c>
      <c r="C417" s="84" t="s">
        <v>958</v>
      </c>
      <c r="D417" s="84" t="s">
        <v>2419</v>
      </c>
      <c r="E417" s="84" t="s">
        <v>955</v>
      </c>
      <c r="F417" s="84" t="s">
        <v>998</v>
      </c>
    </row>
    <row r="418" spans="1:6" hidden="1" x14ac:dyDescent="0.25">
      <c r="A418" s="85" t="s">
        <v>2420</v>
      </c>
      <c r="B418" s="85" t="s">
        <v>2420</v>
      </c>
      <c r="C418" s="84" t="s">
        <v>958</v>
      </c>
      <c r="D418" s="84" t="s">
        <v>2421</v>
      </c>
      <c r="E418" s="84" t="s">
        <v>955</v>
      </c>
      <c r="F418" s="84" t="s">
        <v>998</v>
      </c>
    </row>
    <row r="419" spans="1:6" hidden="1" x14ac:dyDescent="0.25">
      <c r="A419" s="85" t="s">
        <v>234</v>
      </c>
      <c r="B419" s="85" t="s">
        <v>234</v>
      </c>
      <c r="C419" s="84" t="s">
        <v>958</v>
      </c>
      <c r="D419" s="84" t="s">
        <v>235</v>
      </c>
      <c r="E419" s="84" t="s">
        <v>955</v>
      </c>
      <c r="F419" s="84" t="s">
        <v>998</v>
      </c>
    </row>
    <row r="420" spans="1:6" hidden="1" x14ac:dyDescent="0.25">
      <c r="A420" s="85" t="s">
        <v>2422</v>
      </c>
      <c r="B420" s="85" t="s">
        <v>2422</v>
      </c>
      <c r="C420" s="84" t="s">
        <v>958</v>
      </c>
      <c r="D420" s="84" t="s">
        <v>2423</v>
      </c>
      <c r="E420" s="84" t="s">
        <v>955</v>
      </c>
      <c r="F420" s="84" t="s">
        <v>998</v>
      </c>
    </row>
    <row r="421" spans="1:6" hidden="1" x14ac:dyDescent="0.25">
      <c r="A421" s="85" t="s">
        <v>236</v>
      </c>
      <c r="B421" s="85" t="s">
        <v>236</v>
      </c>
      <c r="C421" s="84" t="s">
        <v>958</v>
      </c>
      <c r="D421" s="84" t="s">
        <v>237</v>
      </c>
      <c r="E421" s="84" t="s">
        <v>955</v>
      </c>
      <c r="F421" s="84" t="s">
        <v>998</v>
      </c>
    </row>
    <row r="422" spans="1:6" hidden="1" x14ac:dyDescent="0.25">
      <c r="A422" s="85" t="s">
        <v>2424</v>
      </c>
      <c r="B422" s="85" t="s">
        <v>2424</v>
      </c>
      <c r="C422" s="84" t="s">
        <v>958</v>
      </c>
      <c r="D422" s="84" t="s">
        <v>2425</v>
      </c>
      <c r="E422" s="84" t="s">
        <v>955</v>
      </c>
      <c r="F422" s="84" t="s">
        <v>998</v>
      </c>
    </row>
    <row r="423" spans="1:6" hidden="1" x14ac:dyDescent="0.25">
      <c r="A423" s="85" t="s">
        <v>238</v>
      </c>
      <c r="B423" s="85" t="s">
        <v>238</v>
      </c>
      <c r="C423" s="84" t="s">
        <v>958</v>
      </c>
      <c r="D423" s="84" t="s">
        <v>239</v>
      </c>
      <c r="E423" s="84" t="s">
        <v>955</v>
      </c>
      <c r="F423" s="84" t="s">
        <v>998</v>
      </c>
    </row>
    <row r="424" spans="1:6" hidden="1" x14ac:dyDescent="0.25">
      <c r="A424" s="85" t="s">
        <v>2426</v>
      </c>
      <c r="B424" s="85" t="s">
        <v>2426</v>
      </c>
      <c r="C424" s="84" t="s">
        <v>958</v>
      </c>
      <c r="D424" s="84" t="s">
        <v>2427</v>
      </c>
      <c r="E424" s="84" t="s">
        <v>955</v>
      </c>
      <c r="F424" s="84" t="s">
        <v>998</v>
      </c>
    </row>
    <row r="425" spans="1:6" hidden="1" x14ac:dyDescent="0.25">
      <c r="A425" s="85" t="s">
        <v>240</v>
      </c>
      <c r="B425" s="85" t="s">
        <v>240</v>
      </c>
      <c r="C425" s="84" t="s">
        <v>958</v>
      </c>
      <c r="D425" s="84" t="s">
        <v>241</v>
      </c>
      <c r="E425" s="84" t="s">
        <v>955</v>
      </c>
      <c r="F425" s="84" t="s">
        <v>998</v>
      </c>
    </row>
    <row r="426" spans="1:6" hidden="1" x14ac:dyDescent="0.25">
      <c r="A426" s="85" t="s">
        <v>2428</v>
      </c>
      <c r="B426" s="85" t="s">
        <v>2428</v>
      </c>
      <c r="C426" s="84" t="s">
        <v>958</v>
      </c>
      <c r="D426" s="84" t="s">
        <v>2429</v>
      </c>
      <c r="E426" s="84" t="s">
        <v>955</v>
      </c>
      <c r="F426" s="84" t="s">
        <v>998</v>
      </c>
    </row>
    <row r="427" spans="1:6" hidden="1" x14ac:dyDescent="0.25">
      <c r="A427" s="85" t="s">
        <v>242</v>
      </c>
      <c r="B427" s="85" t="s">
        <v>242</v>
      </c>
      <c r="C427" s="84" t="s">
        <v>958</v>
      </c>
      <c r="D427" s="84" t="s">
        <v>1023</v>
      </c>
      <c r="E427" s="84" t="s">
        <v>955</v>
      </c>
      <c r="F427" s="84" t="s">
        <v>998</v>
      </c>
    </row>
    <row r="428" spans="1:6" hidden="1" x14ac:dyDescent="0.25">
      <c r="A428" s="85" t="s">
        <v>2430</v>
      </c>
      <c r="B428" s="85" t="s">
        <v>2430</v>
      </c>
      <c r="C428" s="84" t="s">
        <v>958</v>
      </c>
      <c r="D428" s="84" t="s">
        <v>2431</v>
      </c>
      <c r="E428" s="84" t="s">
        <v>955</v>
      </c>
      <c r="F428" s="84" t="s">
        <v>998</v>
      </c>
    </row>
    <row r="429" spans="1:6" hidden="1" x14ac:dyDescent="0.25">
      <c r="A429" s="85" t="s">
        <v>244</v>
      </c>
      <c r="B429" s="85" t="s">
        <v>244</v>
      </c>
      <c r="C429" s="84" t="s">
        <v>958</v>
      </c>
      <c r="D429" s="84" t="s">
        <v>245</v>
      </c>
      <c r="E429" s="84" t="s">
        <v>955</v>
      </c>
      <c r="F429" s="84" t="s">
        <v>998</v>
      </c>
    </row>
    <row r="430" spans="1:6" hidden="1" x14ac:dyDescent="0.25">
      <c r="A430" s="85" t="s">
        <v>2432</v>
      </c>
      <c r="B430" s="85" t="s">
        <v>2432</v>
      </c>
      <c r="C430" s="84" t="s">
        <v>958</v>
      </c>
      <c r="D430" s="84" t="s">
        <v>2433</v>
      </c>
      <c r="E430" s="84" t="s">
        <v>955</v>
      </c>
      <c r="F430" s="84" t="s">
        <v>998</v>
      </c>
    </row>
    <row r="431" spans="1:6" hidden="1" x14ac:dyDescent="0.25">
      <c r="A431" s="85" t="s">
        <v>246</v>
      </c>
      <c r="B431" s="85" t="s">
        <v>246</v>
      </c>
      <c r="C431" s="84" t="s">
        <v>958</v>
      </c>
      <c r="D431" s="84" t="s">
        <v>247</v>
      </c>
      <c r="E431" s="84" t="s">
        <v>955</v>
      </c>
      <c r="F431" s="84" t="s">
        <v>998</v>
      </c>
    </row>
    <row r="432" spans="1:6" hidden="1" x14ac:dyDescent="0.25">
      <c r="A432" s="85" t="s">
        <v>2434</v>
      </c>
      <c r="B432" s="85" t="s">
        <v>2434</v>
      </c>
      <c r="C432" s="84" t="s">
        <v>958</v>
      </c>
      <c r="D432" s="84" t="s">
        <v>2435</v>
      </c>
      <c r="E432" s="84" t="s">
        <v>955</v>
      </c>
      <c r="F432" s="84" t="s">
        <v>998</v>
      </c>
    </row>
    <row r="433" spans="1:6" hidden="1" x14ac:dyDescent="0.25">
      <c r="A433" s="85" t="s">
        <v>248</v>
      </c>
      <c r="B433" s="85" t="s">
        <v>248</v>
      </c>
      <c r="C433" s="84" t="s">
        <v>958</v>
      </c>
      <c r="D433" s="84" t="s">
        <v>1024</v>
      </c>
      <c r="E433" s="84" t="s">
        <v>955</v>
      </c>
      <c r="F433" s="84" t="s">
        <v>998</v>
      </c>
    </row>
    <row r="434" spans="1:6" hidden="1" x14ac:dyDescent="0.25">
      <c r="A434" s="85" t="s">
        <v>2436</v>
      </c>
      <c r="B434" s="85" t="s">
        <v>2436</v>
      </c>
      <c r="C434" s="84" t="s">
        <v>958</v>
      </c>
      <c r="D434" s="84" t="s">
        <v>2437</v>
      </c>
      <c r="E434" s="84" t="s">
        <v>955</v>
      </c>
      <c r="F434" s="84" t="s">
        <v>998</v>
      </c>
    </row>
    <row r="435" spans="1:6" hidden="1" x14ac:dyDescent="0.25">
      <c r="A435" s="85" t="s">
        <v>250</v>
      </c>
      <c r="B435" s="85" t="s">
        <v>250</v>
      </c>
      <c r="C435" s="84" t="s">
        <v>958</v>
      </c>
      <c r="D435" s="84" t="s">
        <v>251</v>
      </c>
      <c r="E435" s="84" t="s">
        <v>955</v>
      </c>
      <c r="F435" s="84" t="s">
        <v>998</v>
      </c>
    </row>
    <row r="436" spans="1:6" hidden="1" x14ac:dyDescent="0.25">
      <c r="A436" s="85" t="s">
        <v>2438</v>
      </c>
      <c r="B436" s="85" t="s">
        <v>2438</v>
      </c>
      <c r="C436" s="84" t="s">
        <v>958</v>
      </c>
      <c r="D436" s="84" t="s">
        <v>2439</v>
      </c>
      <c r="E436" s="84" t="s">
        <v>955</v>
      </c>
      <c r="F436" s="84" t="s">
        <v>998</v>
      </c>
    </row>
    <row r="437" spans="1:6" hidden="1" x14ac:dyDescent="0.25">
      <c r="A437" s="85" t="s">
        <v>252</v>
      </c>
      <c r="B437" s="85" t="s">
        <v>252</v>
      </c>
      <c r="C437" s="84" t="s">
        <v>958</v>
      </c>
      <c r="D437" s="84" t="s">
        <v>253</v>
      </c>
      <c r="E437" s="84" t="s">
        <v>955</v>
      </c>
      <c r="F437" s="84" t="s">
        <v>998</v>
      </c>
    </row>
    <row r="438" spans="1:6" hidden="1" x14ac:dyDescent="0.25">
      <c r="A438" s="85" t="s">
        <v>2440</v>
      </c>
      <c r="B438" s="85" t="s">
        <v>2440</v>
      </c>
      <c r="C438" s="84" t="s">
        <v>958</v>
      </c>
      <c r="D438" s="84" t="s">
        <v>2441</v>
      </c>
      <c r="E438" s="84" t="s">
        <v>955</v>
      </c>
      <c r="F438" s="84" t="s">
        <v>998</v>
      </c>
    </row>
    <row r="439" spans="1:6" x14ac:dyDescent="0.25">
      <c r="A439" s="85" t="s">
        <v>254</v>
      </c>
      <c r="B439" s="85" t="s">
        <v>254</v>
      </c>
      <c r="C439" s="84" t="s">
        <v>958</v>
      </c>
      <c r="D439" s="84" t="s">
        <v>255</v>
      </c>
      <c r="E439" s="84" t="s">
        <v>955</v>
      </c>
      <c r="F439" s="84" t="s">
        <v>998</v>
      </c>
    </row>
    <row r="440" spans="1:6" x14ac:dyDescent="0.25">
      <c r="A440" s="85" t="s">
        <v>2442</v>
      </c>
      <c r="B440" s="85" t="s">
        <v>2442</v>
      </c>
      <c r="C440" s="84" t="s">
        <v>958</v>
      </c>
      <c r="D440" s="84" t="s">
        <v>2443</v>
      </c>
      <c r="E440" s="84" t="s">
        <v>955</v>
      </c>
      <c r="F440" s="84" t="s">
        <v>998</v>
      </c>
    </row>
    <row r="441" spans="1:6" x14ac:dyDescent="0.25">
      <c r="A441" s="85" t="s">
        <v>256</v>
      </c>
      <c r="B441" s="85" t="s">
        <v>256</v>
      </c>
      <c r="C441" s="84" t="s">
        <v>958</v>
      </c>
      <c r="D441" s="84" t="s">
        <v>257</v>
      </c>
      <c r="E441" s="84" t="s">
        <v>955</v>
      </c>
      <c r="F441" s="84" t="s">
        <v>998</v>
      </c>
    </row>
    <row r="442" spans="1:6" x14ac:dyDescent="0.25">
      <c r="A442" s="85" t="s">
        <v>258</v>
      </c>
      <c r="B442" s="85" t="s">
        <v>258</v>
      </c>
      <c r="C442" s="84" t="s">
        <v>958</v>
      </c>
      <c r="D442" s="84" t="s">
        <v>259</v>
      </c>
      <c r="E442" s="84" t="s">
        <v>955</v>
      </c>
      <c r="F442" s="84" t="s">
        <v>998</v>
      </c>
    </row>
    <row r="443" spans="1:6" x14ac:dyDescent="0.25">
      <c r="A443" s="85" t="s">
        <v>260</v>
      </c>
      <c r="B443" s="85" t="s">
        <v>260</v>
      </c>
      <c r="C443" s="84" t="s">
        <v>958</v>
      </c>
      <c r="D443" s="84" t="s">
        <v>261</v>
      </c>
      <c r="E443" s="84" t="s">
        <v>955</v>
      </c>
      <c r="F443" s="84" t="s">
        <v>998</v>
      </c>
    </row>
    <row r="444" spans="1:6" x14ac:dyDescent="0.25">
      <c r="A444" s="85" t="s">
        <v>2444</v>
      </c>
      <c r="B444" s="85" t="s">
        <v>2444</v>
      </c>
      <c r="C444" s="84" t="s">
        <v>958</v>
      </c>
      <c r="D444" s="84" t="s">
        <v>2445</v>
      </c>
      <c r="E444" s="84" t="s">
        <v>955</v>
      </c>
      <c r="F444" s="84" t="s">
        <v>998</v>
      </c>
    </row>
    <row r="445" spans="1:6" x14ac:dyDescent="0.25">
      <c r="A445" s="85" t="s">
        <v>262</v>
      </c>
      <c r="B445" s="85" t="s">
        <v>262</v>
      </c>
      <c r="C445" s="84" t="s">
        <v>958</v>
      </c>
      <c r="D445" s="84" t="s">
        <v>263</v>
      </c>
      <c r="E445" s="84" t="s">
        <v>955</v>
      </c>
      <c r="F445" s="84" t="s">
        <v>998</v>
      </c>
    </row>
    <row r="446" spans="1:6" x14ac:dyDescent="0.25">
      <c r="A446" s="85" t="s">
        <v>2446</v>
      </c>
      <c r="B446" s="85" t="s">
        <v>2446</v>
      </c>
      <c r="C446" s="84" t="s">
        <v>958</v>
      </c>
      <c r="D446" s="84" t="s">
        <v>2447</v>
      </c>
      <c r="E446" s="84" t="s">
        <v>955</v>
      </c>
      <c r="F446" s="84" t="s">
        <v>998</v>
      </c>
    </row>
    <row r="447" spans="1:6" hidden="1" x14ac:dyDescent="0.25">
      <c r="A447" s="85" t="s">
        <v>2448</v>
      </c>
      <c r="B447" s="85" t="s">
        <v>2448</v>
      </c>
      <c r="C447" s="84" t="s">
        <v>922</v>
      </c>
      <c r="D447" s="84" t="s">
        <v>2449</v>
      </c>
      <c r="E447" s="84" t="s">
        <v>955</v>
      </c>
      <c r="F447" s="84" t="s">
        <v>1026</v>
      </c>
    </row>
    <row r="448" spans="1:6" hidden="1" x14ac:dyDescent="0.25">
      <c r="A448" s="88" t="s">
        <v>265</v>
      </c>
      <c r="B448" s="88" t="s">
        <v>2450</v>
      </c>
      <c r="C448" s="86" t="s">
        <v>922</v>
      </c>
      <c r="D448" s="86" t="s">
        <v>1025</v>
      </c>
      <c r="E448" s="86" t="s">
        <v>955</v>
      </c>
      <c r="F448" s="86" t="s">
        <v>1026</v>
      </c>
    </row>
    <row r="449" spans="1:6" hidden="1" x14ac:dyDescent="0.25">
      <c r="A449" s="85" t="s">
        <v>2451</v>
      </c>
      <c r="B449" s="85" t="s">
        <v>2451</v>
      </c>
      <c r="C449" s="84" t="s">
        <v>922</v>
      </c>
      <c r="D449" s="84" t="s">
        <v>2452</v>
      </c>
      <c r="E449" s="84" t="s">
        <v>955</v>
      </c>
      <c r="F449" s="84" t="s">
        <v>1026</v>
      </c>
    </row>
    <row r="450" spans="1:6" hidden="1" x14ac:dyDescent="0.25">
      <c r="A450" s="88" t="s">
        <v>198</v>
      </c>
      <c r="B450" s="88" t="s">
        <v>198</v>
      </c>
      <c r="C450" s="86" t="s">
        <v>958</v>
      </c>
      <c r="D450" s="86" t="s">
        <v>1027</v>
      </c>
      <c r="E450" s="86" t="s">
        <v>955</v>
      </c>
      <c r="F450" s="86" t="s">
        <v>1026</v>
      </c>
    </row>
    <row r="451" spans="1:6" hidden="1" x14ac:dyDescent="0.25">
      <c r="A451" s="85" t="s">
        <v>2453</v>
      </c>
      <c r="B451" s="85" t="s">
        <v>2453</v>
      </c>
      <c r="C451" s="84" t="s">
        <v>958</v>
      </c>
      <c r="D451" s="84" t="s">
        <v>2454</v>
      </c>
      <c r="E451" s="84" t="s">
        <v>955</v>
      </c>
      <c r="F451" s="84" t="s">
        <v>1026</v>
      </c>
    </row>
    <row r="452" spans="1:6" hidden="1" x14ac:dyDescent="0.25">
      <c r="A452" s="85" t="s">
        <v>2455</v>
      </c>
      <c r="B452" s="85" t="s">
        <v>2455</v>
      </c>
      <c r="C452" s="84" t="s">
        <v>958</v>
      </c>
      <c r="D452" s="84" t="s">
        <v>2456</v>
      </c>
      <c r="E452" s="84" t="s">
        <v>955</v>
      </c>
      <c r="F452" s="84" t="s">
        <v>1026</v>
      </c>
    </row>
    <row r="453" spans="1:6" hidden="1" x14ac:dyDescent="0.25">
      <c r="A453" s="85" t="s">
        <v>2457</v>
      </c>
      <c r="B453" s="85" t="s">
        <v>2457</v>
      </c>
      <c r="C453" s="84" t="s">
        <v>958</v>
      </c>
      <c r="D453" s="84" t="s">
        <v>2458</v>
      </c>
      <c r="E453" s="84" t="s">
        <v>955</v>
      </c>
      <c r="F453" s="84" t="s">
        <v>1026</v>
      </c>
    </row>
    <row r="454" spans="1:6" hidden="1" x14ac:dyDescent="0.25">
      <c r="A454" s="85" t="s">
        <v>1028</v>
      </c>
      <c r="B454" s="85" t="s">
        <v>2459</v>
      </c>
      <c r="C454" s="84" t="s">
        <v>922</v>
      </c>
      <c r="D454" s="84" t="s">
        <v>1029</v>
      </c>
      <c r="E454" s="84" t="s">
        <v>955</v>
      </c>
      <c r="F454" s="84" t="s">
        <v>1030</v>
      </c>
    </row>
    <row r="455" spans="1:6" hidden="1" x14ac:dyDescent="0.25">
      <c r="A455" s="85" t="s">
        <v>1031</v>
      </c>
      <c r="B455" s="85" t="s">
        <v>2460</v>
      </c>
      <c r="C455" s="84" t="s">
        <v>922</v>
      </c>
      <c r="D455" s="84" t="s">
        <v>1032</v>
      </c>
      <c r="E455" s="84" t="s">
        <v>955</v>
      </c>
      <c r="F455" s="84" t="s">
        <v>1030</v>
      </c>
    </row>
    <row r="456" spans="1:6" hidden="1" x14ac:dyDescent="0.25">
      <c r="A456" s="85" t="s">
        <v>217</v>
      </c>
      <c r="B456" s="85" t="s">
        <v>217</v>
      </c>
      <c r="C456" s="84" t="s">
        <v>958</v>
      </c>
      <c r="D456" s="84" t="s">
        <v>1033</v>
      </c>
      <c r="E456" s="84" t="s">
        <v>955</v>
      </c>
      <c r="F456" s="84" t="s">
        <v>1030</v>
      </c>
    </row>
    <row r="457" spans="1:6" hidden="1" x14ac:dyDescent="0.25">
      <c r="A457" s="85" t="s">
        <v>2461</v>
      </c>
      <c r="B457" s="85" t="s">
        <v>2461</v>
      </c>
      <c r="C457" s="84" t="s">
        <v>958</v>
      </c>
      <c r="D457" s="84" t="s">
        <v>2462</v>
      </c>
      <c r="E457" s="84" t="s">
        <v>955</v>
      </c>
      <c r="F457" s="84" t="s">
        <v>1030</v>
      </c>
    </row>
    <row r="458" spans="1:6" hidden="1" x14ac:dyDescent="0.25">
      <c r="A458" s="85" t="s">
        <v>2463</v>
      </c>
      <c r="B458" s="85" t="s">
        <v>2463</v>
      </c>
      <c r="C458" s="84" t="s">
        <v>958</v>
      </c>
      <c r="D458" s="84" t="s">
        <v>2464</v>
      </c>
      <c r="E458" s="84" t="s">
        <v>955</v>
      </c>
      <c r="F458" s="84" t="s">
        <v>1030</v>
      </c>
    </row>
    <row r="459" spans="1:6" hidden="1" x14ac:dyDescent="0.25">
      <c r="A459" s="85" t="s">
        <v>2465</v>
      </c>
      <c r="B459" s="85" t="s">
        <v>2465</v>
      </c>
      <c r="C459" s="84" t="s">
        <v>958</v>
      </c>
      <c r="D459" s="84" t="s">
        <v>2466</v>
      </c>
      <c r="E459" s="84" t="s">
        <v>955</v>
      </c>
      <c r="F459" s="84" t="s">
        <v>1030</v>
      </c>
    </row>
    <row r="460" spans="1:6" hidden="1" x14ac:dyDescent="0.25">
      <c r="A460" s="85" t="s">
        <v>218</v>
      </c>
      <c r="B460" s="85" t="s">
        <v>218</v>
      </c>
      <c r="C460" s="84" t="s">
        <v>958</v>
      </c>
      <c r="D460" s="84" t="s">
        <v>1034</v>
      </c>
      <c r="E460" s="84" t="s">
        <v>955</v>
      </c>
      <c r="F460" s="84" t="s">
        <v>1030</v>
      </c>
    </row>
    <row r="461" spans="1:6" hidden="1" x14ac:dyDescent="0.25">
      <c r="A461" s="85" t="s">
        <v>2467</v>
      </c>
      <c r="B461" s="85" t="s">
        <v>2467</v>
      </c>
      <c r="C461" s="84" t="s">
        <v>958</v>
      </c>
      <c r="D461" s="84" t="s">
        <v>2468</v>
      </c>
      <c r="E461" s="84" t="s">
        <v>955</v>
      </c>
      <c r="F461" s="84" t="s">
        <v>1030</v>
      </c>
    </row>
    <row r="462" spans="1:6" hidden="1" x14ac:dyDescent="0.25">
      <c r="A462" s="85" t="s">
        <v>2469</v>
      </c>
      <c r="B462" s="85" t="s">
        <v>2469</v>
      </c>
      <c r="C462" s="84" t="s">
        <v>958</v>
      </c>
      <c r="D462" s="84" t="s">
        <v>2470</v>
      </c>
      <c r="E462" s="84" t="s">
        <v>955</v>
      </c>
      <c r="F462" s="84" t="s">
        <v>1030</v>
      </c>
    </row>
    <row r="463" spans="1:6" hidden="1" x14ac:dyDescent="0.25">
      <c r="A463" s="85" t="s">
        <v>2471</v>
      </c>
      <c r="B463" s="85" t="s">
        <v>2471</v>
      </c>
      <c r="C463" s="84" t="s">
        <v>958</v>
      </c>
      <c r="D463" s="84" t="s">
        <v>2472</v>
      </c>
      <c r="E463" s="84" t="s">
        <v>955</v>
      </c>
      <c r="F463" s="84" t="s">
        <v>1030</v>
      </c>
    </row>
    <row r="464" spans="1:6" x14ac:dyDescent="0.25">
      <c r="A464" s="85" t="s">
        <v>1035</v>
      </c>
      <c r="B464" s="85" t="s">
        <v>1035</v>
      </c>
      <c r="C464" s="84" t="s">
        <v>958</v>
      </c>
      <c r="D464" s="84" t="s">
        <v>1036</v>
      </c>
      <c r="E464" s="84" t="s">
        <v>955</v>
      </c>
      <c r="F464" s="84" t="s">
        <v>1030</v>
      </c>
    </row>
    <row r="465" spans="1:6" x14ac:dyDescent="0.25">
      <c r="A465" s="85" t="s">
        <v>2473</v>
      </c>
      <c r="B465" s="85" t="s">
        <v>2473</v>
      </c>
      <c r="C465" s="84" t="s">
        <v>958</v>
      </c>
      <c r="D465" s="84" t="s">
        <v>2474</v>
      </c>
      <c r="E465" s="84" t="s">
        <v>955</v>
      </c>
      <c r="F465" s="84" t="s">
        <v>1030</v>
      </c>
    </row>
    <row r="466" spans="1:6" hidden="1" x14ac:dyDescent="0.25">
      <c r="A466" s="88" t="s">
        <v>851</v>
      </c>
      <c r="B466" s="88" t="s">
        <v>851</v>
      </c>
      <c r="C466" s="86" t="s">
        <v>958</v>
      </c>
      <c r="D466" s="86" t="s">
        <v>1040</v>
      </c>
      <c r="E466" s="86" t="s">
        <v>955</v>
      </c>
      <c r="F466" s="86" t="s">
        <v>1039</v>
      </c>
    </row>
    <row r="467" spans="1:6" hidden="1" x14ac:dyDescent="0.25">
      <c r="A467" s="85">
        <v>1142</v>
      </c>
      <c r="B467" s="85">
        <v>1142</v>
      </c>
      <c r="C467" s="84" t="s">
        <v>922</v>
      </c>
      <c r="D467" s="84" t="s">
        <v>2475</v>
      </c>
      <c r="E467" s="84" t="s">
        <v>955</v>
      </c>
      <c r="F467" s="84" t="s">
        <v>1043</v>
      </c>
    </row>
    <row r="468" spans="1:6" hidden="1" x14ac:dyDescent="0.25">
      <c r="A468" s="85">
        <v>1143</v>
      </c>
      <c r="B468" s="85">
        <v>1143</v>
      </c>
      <c r="C468" s="84" t="s">
        <v>922</v>
      </c>
      <c r="D468" s="84" t="s">
        <v>2476</v>
      </c>
      <c r="E468" s="84" t="s">
        <v>955</v>
      </c>
      <c r="F468" s="84" t="s">
        <v>1043</v>
      </c>
    </row>
    <row r="469" spans="1:6" hidden="1" x14ac:dyDescent="0.25">
      <c r="A469" s="85">
        <v>2166</v>
      </c>
      <c r="B469" s="85">
        <v>2166</v>
      </c>
      <c r="C469" s="84" t="s">
        <v>922</v>
      </c>
      <c r="D469" s="84" t="s">
        <v>2477</v>
      </c>
      <c r="E469" s="84" t="s">
        <v>955</v>
      </c>
      <c r="F469" s="84" t="s">
        <v>1043</v>
      </c>
    </row>
    <row r="470" spans="1:6" hidden="1" x14ac:dyDescent="0.25">
      <c r="A470" s="85">
        <v>2212</v>
      </c>
      <c r="B470" s="85">
        <v>2212</v>
      </c>
      <c r="C470" s="84" t="s">
        <v>922</v>
      </c>
      <c r="D470" s="84" t="s">
        <v>2478</v>
      </c>
      <c r="E470" s="84" t="s">
        <v>955</v>
      </c>
      <c r="F470" s="84" t="s">
        <v>1043</v>
      </c>
    </row>
    <row r="471" spans="1:6" hidden="1" x14ac:dyDescent="0.25">
      <c r="A471" s="85" t="s">
        <v>2479</v>
      </c>
      <c r="B471" s="85" t="s">
        <v>2479</v>
      </c>
      <c r="C471" s="84" t="s">
        <v>922</v>
      </c>
      <c r="D471" s="84" t="s">
        <v>2480</v>
      </c>
      <c r="E471" s="84" t="s">
        <v>955</v>
      </c>
      <c r="F471" s="84" t="s">
        <v>1043</v>
      </c>
    </row>
    <row r="472" spans="1:6" hidden="1" x14ac:dyDescent="0.25">
      <c r="A472" s="85" t="s">
        <v>2481</v>
      </c>
      <c r="B472" s="85" t="s">
        <v>2481</v>
      </c>
      <c r="C472" s="84" t="s">
        <v>922</v>
      </c>
      <c r="D472" s="84" t="s">
        <v>2482</v>
      </c>
      <c r="E472" s="84" t="s">
        <v>955</v>
      </c>
      <c r="F472" s="84" t="s">
        <v>1043</v>
      </c>
    </row>
    <row r="473" spans="1:6" hidden="1" x14ac:dyDescent="0.25">
      <c r="A473" s="85" t="s">
        <v>1041</v>
      </c>
      <c r="B473" s="85">
        <v>1101</v>
      </c>
      <c r="C473" s="84" t="s">
        <v>922</v>
      </c>
      <c r="D473" s="84" t="s">
        <v>1042</v>
      </c>
      <c r="E473" s="84" t="s">
        <v>955</v>
      </c>
      <c r="F473" s="84" t="s">
        <v>1043</v>
      </c>
    </row>
    <row r="474" spans="1:6" hidden="1" x14ac:dyDescent="0.25">
      <c r="A474" s="85" t="s">
        <v>1044</v>
      </c>
      <c r="B474" s="85">
        <v>1102</v>
      </c>
      <c r="C474" s="84" t="s">
        <v>922</v>
      </c>
      <c r="D474" s="84" t="s">
        <v>1045</v>
      </c>
      <c r="E474" s="84" t="s">
        <v>955</v>
      </c>
      <c r="F474" s="84" t="s">
        <v>1043</v>
      </c>
    </row>
    <row r="475" spans="1:6" hidden="1" x14ac:dyDescent="0.25">
      <c r="A475" s="85" t="s">
        <v>1046</v>
      </c>
      <c r="B475" s="85">
        <v>1103</v>
      </c>
      <c r="C475" s="84" t="s">
        <v>922</v>
      </c>
      <c r="D475" s="84" t="s">
        <v>1047</v>
      </c>
      <c r="E475" s="84" t="s">
        <v>955</v>
      </c>
      <c r="F475" s="84" t="s">
        <v>1043</v>
      </c>
    </row>
    <row r="476" spans="1:6" hidden="1" x14ac:dyDescent="0.25">
      <c r="A476" s="85" t="s">
        <v>2483</v>
      </c>
      <c r="B476" s="85">
        <v>1104</v>
      </c>
      <c r="C476" s="84" t="s">
        <v>922</v>
      </c>
      <c r="D476" s="84" t="s">
        <v>2484</v>
      </c>
      <c r="E476" s="84" t="s">
        <v>955</v>
      </c>
      <c r="F476" s="84" t="s">
        <v>1043</v>
      </c>
    </row>
    <row r="477" spans="1:6" hidden="1" x14ac:dyDescent="0.25">
      <c r="A477" s="85" t="s">
        <v>2485</v>
      </c>
      <c r="B477" s="85">
        <v>1105</v>
      </c>
      <c r="C477" s="84" t="s">
        <v>922</v>
      </c>
      <c r="D477" s="84" t="s">
        <v>2486</v>
      </c>
      <c r="E477" s="84" t="s">
        <v>955</v>
      </c>
      <c r="F477" s="84" t="s">
        <v>1043</v>
      </c>
    </row>
    <row r="478" spans="1:6" hidden="1" x14ac:dyDescent="0.25">
      <c r="A478" s="85" t="s">
        <v>1048</v>
      </c>
      <c r="B478" s="85">
        <v>1107</v>
      </c>
      <c r="C478" s="84" t="s">
        <v>922</v>
      </c>
      <c r="D478" s="84" t="s">
        <v>1049</v>
      </c>
      <c r="E478" s="84" t="s">
        <v>955</v>
      </c>
      <c r="F478" s="84" t="s">
        <v>1043</v>
      </c>
    </row>
    <row r="479" spans="1:6" hidden="1" x14ac:dyDescent="0.25">
      <c r="A479" s="85" t="s">
        <v>1050</v>
      </c>
      <c r="B479" s="85">
        <v>1108</v>
      </c>
      <c r="C479" s="84" t="s">
        <v>922</v>
      </c>
      <c r="D479" s="84" t="s">
        <v>1051</v>
      </c>
      <c r="E479" s="84" t="s">
        <v>955</v>
      </c>
      <c r="F479" s="84" t="s">
        <v>1043</v>
      </c>
    </row>
    <row r="480" spans="1:6" hidden="1" x14ac:dyDescent="0.25">
      <c r="A480" s="85" t="s">
        <v>331</v>
      </c>
      <c r="B480" s="85">
        <v>1109</v>
      </c>
      <c r="C480" s="84" t="s">
        <v>922</v>
      </c>
      <c r="D480" s="84" t="s">
        <v>332</v>
      </c>
      <c r="E480" s="84" t="s">
        <v>955</v>
      </c>
      <c r="F480" s="84" t="s">
        <v>1043</v>
      </c>
    </row>
    <row r="481" spans="1:6" hidden="1" x14ac:dyDescent="0.25">
      <c r="A481" s="85" t="s">
        <v>1052</v>
      </c>
      <c r="B481" s="85">
        <v>1110</v>
      </c>
      <c r="C481" s="84" t="s">
        <v>922</v>
      </c>
      <c r="D481" s="84" t="s">
        <v>1053</v>
      </c>
      <c r="E481" s="84" t="s">
        <v>955</v>
      </c>
      <c r="F481" s="84" t="s">
        <v>1043</v>
      </c>
    </row>
    <row r="482" spans="1:6" hidden="1" x14ac:dyDescent="0.25">
      <c r="A482" s="85" t="s">
        <v>333</v>
      </c>
      <c r="B482" s="85">
        <v>1111</v>
      </c>
      <c r="C482" s="84" t="s">
        <v>922</v>
      </c>
      <c r="D482" s="84" t="s">
        <v>334</v>
      </c>
      <c r="E482" s="84" t="s">
        <v>955</v>
      </c>
      <c r="F482" s="84" t="s">
        <v>1043</v>
      </c>
    </row>
    <row r="483" spans="1:6" hidden="1" x14ac:dyDescent="0.25">
      <c r="A483" s="85" t="s">
        <v>2487</v>
      </c>
      <c r="B483" s="85">
        <v>1112</v>
      </c>
      <c r="C483" s="84" t="s">
        <v>922</v>
      </c>
      <c r="D483" s="84" t="s">
        <v>2488</v>
      </c>
      <c r="E483" s="84" t="s">
        <v>955</v>
      </c>
      <c r="F483" s="84" t="s">
        <v>1043</v>
      </c>
    </row>
    <row r="484" spans="1:6" hidden="1" x14ac:dyDescent="0.25">
      <c r="A484" s="85" t="s">
        <v>1054</v>
      </c>
      <c r="B484" s="85">
        <v>1113</v>
      </c>
      <c r="C484" s="84" t="s">
        <v>922</v>
      </c>
      <c r="D484" s="84" t="s">
        <v>1055</v>
      </c>
      <c r="E484" s="84" t="s">
        <v>955</v>
      </c>
      <c r="F484" s="84" t="s">
        <v>1043</v>
      </c>
    </row>
    <row r="485" spans="1:6" hidden="1" x14ac:dyDescent="0.25">
      <c r="A485" s="85" t="s">
        <v>2489</v>
      </c>
      <c r="B485" s="85">
        <v>1114</v>
      </c>
      <c r="C485" s="84" t="s">
        <v>922</v>
      </c>
      <c r="D485" s="84" t="s">
        <v>2490</v>
      </c>
      <c r="E485" s="84" t="s">
        <v>955</v>
      </c>
      <c r="F485" s="84" t="s">
        <v>1043</v>
      </c>
    </row>
    <row r="486" spans="1:6" hidden="1" x14ac:dyDescent="0.25">
      <c r="A486" s="85" t="s">
        <v>2491</v>
      </c>
      <c r="B486" s="85">
        <v>1115</v>
      </c>
      <c r="C486" s="84" t="s">
        <v>922</v>
      </c>
      <c r="D486" s="84" t="s">
        <v>2492</v>
      </c>
      <c r="E486" s="84" t="s">
        <v>955</v>
      </c>
      <c r="F486" s="84" t="s">
        <v>1043</v>
      </c>
    </row>
    <row r="487" spans="1:6" hidden="1" x14ac:dyDescent="0.25">
      <c r="A487" s="85" t="s">
        <v>1056</v>
      </c>
      <c r="B487" s="85">
        <v>1116</v>
      </c>
      <c r="C487" s="84" t="s">
        <v>922</v>
      </c>
      <c r="D487" s="84" t="s">
        <v>1057</v>
      </c>
      <c r="E487" s="84" t="s">
        <v>955</v>
      </c>
      <c r="F487" s="84" t="s">
        <v>1043</v>
      </c>
    </row>
    <row r="488" spans="1:6" hidden="1" x14ac:dyDescent="0.25">
      <c r="A488" s="85" t="s">
        <v>335</v>
      </c>
      <c r="B488" s="85">
        <v>1117</v>
      </c>
      <c r="C488" s="84" t="s">
        <v>922</v>
      </c>
      <c r="D488" s="84" t="s">
        <v>336</v>
      </c>
      <c r="E488" s="84" t="s">
        <v>955</v>
      </c>
      <c r="F488" s="84" t="s">
        <v>1043</v>
      </c>
    </row>
    <row r="489" spans="1:6" hidden="1" x14ac:dyDescent="0.25">
      <c r="A489" s="85" t="s">
        <v>1058</v>
      </c>
      <c r="B489" s="85">
        <v>1118</v>
      </c>
      <c r="C489" s="84" t="s">
        <v>922</v>
      </c>
      <c r="D489" s="84" t="s">
        <v>1059</v>
      </c>
      <c r="E489" s="84" t="s">
        <v>955</v>
      </c>
      <c r="F489" s="84" t="s">
        <v>1043</v>
      </c>
    </row>
    <row r="490" spans="1:6" hidden="1" x14ac:dyDescent="0.25">
      <c r="A490" s="85" t="s">
        <v>1060</v>
      </c>
      <c r="B490" s="85">
        <v>1119</v>
      </c>
      <c r="C490" s="84" t="s">
        <v>922</v>
      </c>
      <c r="D490" s="84" t="s">
        <v>1061</v>
      </c>
      <c r="E490" s="84" t="s">
        <v>955</v>
      </c>
      <c r="F490" s="84" t="s">
        <v>1043</v>
      </c>
    </row>
    <row r="491" spans="1:6" hidden="1" x14ac:dyDescent="0.25">
      <c r="A491" s="85" t="s">
        <v>1062</v>
      </c>
      <c r="B491" s="85">
        <v>1120</v>
      </c>
      <c r="C491" s="84" t="s">
        <v>922</v>
      </c>
      <c r="D491" s="84" t="s">
        <v>1063</v>
      </c>
      <c r="E491" s="84" t="s">
        <v>955</v>
      </c>
      <c r="F491" s="84" t="s">
        <v>1043</v>
      </c>
    </row>
    <row r="492" spans="1:6" hidden="1" x14ac:dyDescent="0.25">
      <c r="A492" s="85" t="s">
        <v>1064</v>
      </c>
      <c r="B492" s="85">
        <v>1121</v>
      </c>
      <c r="C492" s="84" t="s">
        <v>922</v>
      </c>
      <c r="D492" s="84" t="s">
        <v>1065</v>
      </c>
      <c r="E492" s="84" t="s">
        <v>955</v>
      </c>
      <c r="F492" s="84" t="s">
        <v>1043</v>
      </c>
    </row>
    <row r="493" spans="1:6" hidden="1" x14ac:dyDescent="0.25">
      <c r="A493" s="85" t="s">
        <v>2493</v>
      </c>
      <c r="B493" s="85">
        <v>1122</v>
      </c>
      <c r="C493" s="84" t="s">
        <v>922</v>
      </c>
      <c r="D493" s="84" t="s">
        <v>2494</v>
      </c>
      <c r="E493" s="84" t="s">
        <v>955</v>
      </c>
      <c r="F493" s="84" t="s">
        <v>1043</v>
      </c>
    </row>
    <row r="494" spans="1:6" hidden="1" x14ac:dyDescent="0.25">
      <c r="A494" s="85" t="s">
        <v>2495</v>
      </c>
      <c r="B494" s="85">
        <v>1123</v>
      </c>
      <c r="C494" s="84" t="s">
        <v>922</v>
      </c>
      <c r="D494" s="84" t="s">
        <v>2496</v>
      </c>
      <c r="E494" s="84" t="s">
        <v>955</v>
      </c>
      <c r="F494" s="84" t="s">
        <v>1043</v>
      </c>
    </row>
    <row r="495" spans="1:6" hidden="1" x14ac:dyDescent="0.25">
      <c r="A495" s="85" t="s">
        <v>1066</v>
      </c>
      <c r="B495" s="85">
        <v>1124</v>
      </c>
      <c r="C495" s="84" t="s">
        <v>922</v>
      </c>
      <c r="D495" s="84" t="s">
        <v>1067</v>
      </c>
      <c r="E495" s="84" t="s">
        <v>955</v>
      </c>
      <c r="F495" s="84" t="s">
        <v>1043</v>
      </c>
    </row>
    <row r="496" spans="1:6" hidden="1" x14ac:dyDescent="0.25">
      <c r="A496" s="85" t="s">
        <v>337</v>
      </c>
      <c r="B496" s="85">
        <v>1125</v>
      </c>
      <c r="C496" s="84" t="s">
        <v>922</v>
      </c>
      <c r="D496" s="84" t="s">
        <v>338</v>
      </c>
      <c r="E496" s="84" t="s">
        <v>955</v>
      </c>
      <c r="F496" s="84" t="s">
        <v>1043</v>
      </c>
    </row>
    <row r="497" spans="1:6" hidden="1" x14ac:dyDescent="0.25">
      <c r="A497" s="85" t="s">
        <v>339</v>
      </c>
      <c r="B497" s="85">
        <v>1126</v>
      </c>
      <c r="C497" s="84" t="s">
        <v>922</v>
      </c>
      <c r="D497" s="84" t="s">
        <v>340</v>
      </c>
      <c r="E497" s="84" t="s">
        <v>955</v>
      </c>
      <c r="F497" s="84" t="s">
        <v>1043</v>
      </c>
    </row>
    <row r="498" spans="1:6" hidden="1" x14ac:dyDescent="0.25">
      <c r="A498" s="85" t="s">
        <v>2497</v>
      </c>
      <c r="B498" s="85">
        <v>1127</v>
      </c>
      <c r="C498" s="84" t="s">
        <v>922</v>
      </c>
      <c r="D498" s="84" t="s">
        <v>2498</v>
      </c>
      <c r="E498" s="84" t="s">
        <v>955</v>
      </c>
      <c r="F498" s="84" t="s">
        <v>1043</v>
      </c>
    </row>
    <row r="499" spans="1:6" hidden="1" x14ac:dyDescent="0.25">
      <c r="A499" s="85" t="s">
        <v>1068</v>
      </c>
      <c r="B499" s="85">
        <v>1128</v>
      </c>
      <c r="C499" s="84" t="s">
        <v>922</v>
      </c>
      <c r="D499" s="84" t="s">
        <v>1065</v>
      </c>
      <c r="E499" s="84" t="s">
        <v>955</v>
      </c>
      <c r="F499" s="84" t="s">
        <v>1043</v>
      </c>
    </row>
    <row r="500" spans="1:6" hidden="1" x14ac:dyDescent="0.25">
      <c r="A500" s="85" t="s">
        <v>2499</v>
      </c>
      <c r="B500" s="85">
        <v>1129</v>
      </c>
      <c r="C500" s="84" t="s">
        <v>922</v>
      </c>
      <c r="D500" s="84" t="s">
        <v>2475</v>
      </c>
      <c r="E500" s="84" t="s">
        <v>955</v>
      </c>
      <c r="F500" s="84" t="s">
        <v>1043</v>
      </c>
    </row>
    <row r="501" spans="1:6" hidden="1" x14ac:dyDescent="0.25">
      <c r="A501" s="85" t="s">
        <v>1069</v>
      </c>
      <c r="B501" s="85">
        <v>1130</v>
      </c>
      <c r="C501" s="84" t="s">
        <v>922</v>
      </c>
      <c r="D501" s="84" t="s">
        <v>1070</v>
      </c>
      <c r="E501" s="84" t="s">
        <v>955</v>
      </c>
      <c r="F501" s="84" t="s">
        <v>1043</v>
      </c>
    </row>
    <row r="502" spans="1:6" hidden="1" x14ac:dyDescent="0.25">
      <c r="A502" s="85" t="s">
        <v>341</v>
      </c>
      <c r="B502" s="85">
        <v>1132</v>
      </c>
      <c r="C502" s="84" t="s">
        <v>922</v>
      </c>
      <c r="D502" s="84" t="s">
        <v>342</v>
      </c>
      <c r="E502" s="84" t="s">
        <v>955</v>
      </c>
      <c r="F502" s="84" t="s">
        <v>1043</v>
      </c>
    </row>
    <row r="503" spans="1:6" hidden="1" x14ac:dyDescent="0.25">
      <c r="A503" s="85" t="s">
        <v>343</v>
      </c>
      <c r="B503" s="85">
        <v>1133</v>
      </c>
      <c r="C503" s="84" t="s">
        <v>922</v>
      </c>
      <c r="D503" s="84" t="s">
        <v>1071</v>
      </c>
      <c r="E503" s="84" t="s">
        <v>955</v>
      </c>
      <c r="F503" s="84" t="s">
        <v>1043</v>
      </c>
    </row>
    <row r="504" spans="1:6" hidden="1" x14ac:dyDescent="0.25">
      <c r="A504" s="85" t="s">
        <v>344</v>
      </c>
      <c r="B504" s="85">
        <v>1134</v>
      </c>
      <c r="C504" s="84" t="s">
        <v>922</v>
      </c>
      <c r="D504" s="84" t="s">
        <v>345</v>
      </c>
      <c r="E504" s="84" t="s">
        <v>955</v>
      </c>
      <c r="F504" s="84" t="s">
        <v>1043</v>
      </c>
    </row>
    <row r="505" spans="1:6" hidden="1" x14ac:dyDescent="0.25">
      <c r="A505" s="85" t="s">
        <v>2500</v>
      </c>
      <c r="B505" s="85">
        <v>1135</v>
      </c>
      <c r="C505" s="84" t="s">
        <v>922</v>
      </c>
      <c r="D505" s="84" t="s">
        <v>2501</v>
      </c>
      <c r="E505" s="84" t="s">
        <v>955</v>
      </c>
      <c r="F505" s="84" t="s">
        <v>1043</v>
      </c>
    </row>
    <row r="506" spans="1:6" hidden="1" x14ac:dyDescent="0.25">
      <c r="A506" s="85" t="s">
        <v>1072</v>
      </c>
      <c r="B506" s="85">
        <v>1136</v>
      </c>
      <c r="C506" s="84" t="s">
        <v>922</v>
      </c>
      <c r="D506" s="84" t="s">
        <v>1073</v>
      </c>
      <c r="E506" s="84" t="s">
        <v>955</v>
      </c>
      <c r="F506" s="84" t="s">
        <v>1043</v>
      </c>
    </row>
    <row r="507" spans="1:6" hidden="1" x14ac:dyDescent="0.25">
      <c r="A507" s="85" t="s">
        <v>346</v>
      </c>
      <c r="B507" s="85">
        <v>1137</v>
      </c>
      <c r="C507" s="84" t="s">
        <v>922</v>
      </c>
      <c r="D507" s="84" t="s">
        <v>347</v>
      </c>
      <c r="E507" s="84" t="s">
        <v>955</v>
      </c>
      <c r="F507" s="84" t="s">
        <v>1043</v>
      </c>
    </row>
    <row r="508" spans="1:6" hidden="1" x14ac:dyDescent="0.25">
      <c r="A508" s="85" t="s">
        <v>1074</v>
      </c>
      <c r="B508" s="85">
        <v>1138</v>
      </c>
      <c r="C508" s="84" t="s">
        <v>922</v>
      </c>
      <c r="D508" s="84" t="s">
        <v>1075</v>
      </c>
      <c r="E508" s="84" t="s">
        <v>955</v>
      </c>
      <c r="F508" s="84" t="s">
        <v>1043</v>
      </c>
    </row>
    <row r="509" spans="1:6" hidden="1" x14ac:dyDescent="0.25">
      <c r="A509" s="85" t="s">
        <v>348</v>
      </c>
      <c r="B509" s="85">
        <v>1139</v>
      </c>
      <c r="C509" s="84" t="s">
        <v>922</v>
      </c>
      <c r="D509" s="84" t="s">
        <v>349</v>
      </c>
      <c r="E509" s="84" t="s">
        <v>955</v>
      </c>
      <c r="F509" s="84" t="s">
        <v>1043</v>
      </c>
    </row>
    <row r="510" spans="1:6" hidden="1" x14ac:dyDescent="0.25">
      <c r="A510" s="85" t="s">
        <v>350</v>
      </c>
      <c r="B510" s="85">
        <v>1140</v>
      </c>
      <c r="C510" s="84" t="s">
        <v>922</v>
      </c>
      <c r="D510" s="84" t="s">
        <v>351</v>
      </c>
      <c r="E510" s="84" t="s">
        <v>955</v>
      </c>
      <c r="F510" s="84" t="s">
        <v>1043</v>
      </c>
    </row>
    <row r="511" spans="1:6" hidden="1" x14ac:dyDescent="0.25">
      <c r="A511" s="85" t="s">
        <v>1076</v>
      </c>
      <c r="B511" s="85">
        <v>1141</v>
      </c>
      <c r="C511" s="84" t="s">
        <v>922</v>
      </c>
      <c r="D511" s="84" t="s">
        <v>1077</v>
      </c>
      <c r="E511" s="84" t="s">
        <v>955</v>
      </c>
      <c r="F511" s="84" t="s">
        <v>1043</v>
      </c>
    </row>
    <row r="512" spans="1:6" hidden="1" x14ac:dyDescent="0.25">
      <c r="A512" s="85" t="s">
        <v>2502</v>
      </c>
      <c r="B512" s="85">
        <v>1301</v>
      </c>
      <c r="C512" s="84" t="s">
        <v>922</v>
      </c>
      <c r="D512" s="84" t="s">
        <v>2503</v>
      </c>
      <c r="E512" s="84" t="s">
        <v>955</v>
      </c>
      <c r="F512" s="84" t="s">
        <v>1043</v>
      </c>
    </row>
    <row r="513" spans="1:6" hidden="1" x14ac:dyDescent="0.25">
      <c r="A513" s="85" t="s">
        <v>2504</v>
      </c>
      <c r="B513" s="85">
        <v>1302</v>
      </c>
      <c r="C513" s="84" t="s">
        <v>922</v>
      </c>
      <c r="D513" s="84" t="s">
        <v>2505</v>
      </c>
      <c r="E513" s="84" t="s">
        <v>955</v>
      </c>
      <c r="F513" s="84" t="s">
        <v>1043</v>
      </c>
    </row>
    <row r="514" spans="1:6" hidden="1" x14ac:dyDescent="0.25">
      <c r="A514" s="85" t="s">
        <v>2506</v>
      </c>
      <c r="B514" s="85">
        <v>1303</v>
      </c>
      <c r="C514" s="84" t="s">
        <v>922</v>
      </c>
      <c r="D514" s="84" t="s">
        <v>2507</v>
      </c>
      <c r="E514" s="84" t="s">
        <v>955</v>
      </c>
      <c r="F514" s="84" t="s">
        <v>1043</v>
      </c>
    </row>
    <row r="515" spans="1:6" hidden="1" x14ac:dyDescent="0.25">
      <c r="A515" s="85" t="s">
        <v>2508</v>
      </c>
      <c r="B515" s="85">
        <v>1308</v>
      </c>
      <c r="C515" s="84" t="s">
        <v>922</v>
      </c>
      <c r="D515" s="84" t="s">
        <v>2509</v>
      </c>
      <c r="E515" s="84" t="s">
        <v>955</v>
      </c>
      <c r="F515" s="84" t="s">
        <v>1043</v>
      </c>
    </row>
    <row r="516" spans="1:6" hidden="1" x14ac:dyDescent="0.25">
      <c r="A516" s="85" t="s">
        <v>2510</v>
      </c>
      <c r="B516" s="85">
        <v>1314</v>
      </c>
      <c r="C516" s="84" t="s">
        <v>922</v>
      </c>
      <c r="D516" s="84" t="s">
        <v>2511</v>
      </c>
      <c r="E516" s="84" t="s">
        <v>955</v>
      </c>
      <c r="F516" s="84" t="s">
        <v>1043</v>
      </c>
    </row>
    <row r="517" spans="1:6" hidden="1" x14ac:dyDescent="0.25">
      <c r="A517" s="85" t="s">
        <v>2512</v>
      </c>
      <c r="B517" s="85">
        <v>1318</v>
      </c>
      <c r="C517" s="84" t="s">
        <v>922</v>
      </c>
      <c r="D517" s="84" t="s">
        <v>2513</v>
      </c>
      <c r="E517" s="84" t="s">
        <v>955</v>
      </c>
      <c r="F517" s="84" t="s">
        <v>1043</v>
      </c>
    </row>
    <row r="518" spans="1:6" hidden="1" x14ac:dyDescent="0.25">
      <c r="A518" s="85" t="s">
        <v>2514</v>
      </c>
      <c r="B518" s="85">
        <v>1319</v>
      </c>
      <c r="C518" s="84" t="s">
        <v>922</v>
      </c>
      <c r="D518" s="84" t="s">
        <v>2515</v>
      </c>
      <c r="E518" s="84" t="s">
        <v>955</v>
      </c>
      <c r="F518" s="84" t="s">
        <v>1043</v>
      </c>
    </row>
    <row r="519" spans="1:6" hidden="1" x14ac:dyDescent="0.25">
      <c r="A519" s="85" t="s">
        <v>2516</v>
      </c>
      <c r="B519" s="85">
        <v>1321</v>
      </c>
      <c r="C519" s="84" t="s">
        <v>922</v>
      </c>
      <c r="D519" s="84" t="s">
        <v>2517</v>
      </c>
      <c r="E519" s="84" t="s">
        <v>955</v>
      </c>
      <c r="F519" s="84" t="s">
        <v>1043</v>
      </c>
    </row>
    <row r="520" spans="1:6" hidden="1" x14ac:dyDescent="0.25">
      <c r="A520" s="85" t="s">
        <v>2518</v>
      </c>
      <c r="B520" s="85">
        <v>1322</v>
      </c>
      <c r="C520" s="84" t="s">
        <v>922</v>
      </c>
      <c r="D520" s="84" t="s">
        <v>2519</v>
      </c>
      <c r="E520" s="84" t="s">
        <v>955</v>
      </c>
      <c r="F520" s="84" t="s">
        <v>1043</v>
      </c>
    </row>
    <row r="521" spans="1:6" hidden="1" x14ac:dyDescent="0.25">
      <c r="A521" s="85" t="s">
        <v>2520</v>
      </c>
      <c r="B521" s="85">
        <v>1323</v>
      </c>
      <c r="C521" s="84" t="s">
        <v>922</v>
      </c>
      <c r="D521" s="84" t="s">
        <v>2521</v>
      </c>
      <c r="E521" s="84" t="s">
        <v>955</v>
      </c>
      <c r="F521" s="84" t="s">
        <v>1043</v>
      </c>
    </row>
    <row r="522" spans="1:6" hidden="1" x14ac:dyDescent="0.25">
      <c r="A522" s="85" t="s">
        <v>2522</v>
      </c>
      <c r="B522" s="85">
        <v>1324</v>
      </c>
      <c r="C522" s="84" t="s">
        <v>922</v>
      </c>
      <c r="D522" s="84" t="s">
        <v>2523</v>
      </c>
      <c r="E522" s="84" t="s">
        <v>955</v>
      </c>
      <c r="F522" s="84" t="s">
        <v>1043</v>
      </c>
    </row>
    <row r="523" spans="1:6" hidden="1" x14ac:dyDescent="0.25">
      <c r="A523" s="85" t="s">
        <v>2524</v>
      </c>
      <c r="B523" s="85">
        <v>2301</v>
      </c>
      <c r="C523" s="84" t="s">
        <v>922</v>
      </c>
      <c r="D523" s="84" t="s">
        <v>2525</v>
      </c>
      <c r="E523" s="84" t="s">
        <v>955</v>
      </c>
      <c r="F523" s="84" t="s">
        <v>1043</v>
      </c>
    </row>
    <row r="524" spans="1:6" hidden="1" x14ac:dyDescent="0.25">
      <c r="A524" s="85" t="s">
        <v>2526</v>
      </c>
      <c r="B524" s="85">
        <v>2314</v>
      </c>
      <c r="C524" s="84" t="s">
        <v>922</v>
      </c>
      <c r="D524" s="84" t="s">
        <v>1278</v>
      </c>
      <c r="E524" s="84" t="s">
        <v>955</v>
      </c>
      <c r="F524" s="84" t="s">
        <v>1043</v>
      </c>
    </row>
    <row r="525" spans="1:6" hidden="1" x14ac:dyDescent="0.25">
      <c r="A525" s="85" t="s">
        <v>2527</v>
      </c>
      <c r="B525" s="85">
        <v>2318</v>
      </c>
      <c r="C525" s="84" t="s">
        <v>922</v>
      </c>
      <c r="D525" s="84" t="s">
        <v>2528</v>
      </c>
      <c r="E525" s="84" t="s">
        <v>955</v>
      </c>
      <c r="F525" s="84" t="s">
        <v>1043</v>
      </c>
    </row>
    <row r="526" spans="1:6" hidden="1" x14ac:dyDescent="0.25">
      <c r="A526" s="85" t="s">
        <v>2529</v>
      </c>
      <c r="B526" s="85">
        <v>2330</v>
      </c>
      <c r="C526" s="84" t="s">
        <v>922</v>
      </c>
      <c r="D526" s="84" t="s">
        <v>352</v>
      </c>
      <c r="E526" s="84" t="s">
        <v>955</v>
      </c>
      <c r="F526" s="84" t="s">
        <v>1043</v>
      </c>
    </row>
    <row r="527" spans="1:6" hidden="1" x14ac:dyDescent="0.25">
      <c r="A527" s="85" t="s">
        <v>2530</v>
      </c>
      <c r="B527" s="85">
        <v>2355</v>
      </c>
      <c r="C527" s="84" t="s">
        <v>922</v>
      </c>
      <c r="D527" s="84" t="s">
        <v>798</v>
      </c>
      <c r="E527" s="84" t="s">
        <v>955</v>
      </c>
      <c r="F527" s="84" t="s">
        <v>1043</v>
      </c>
    </row>
    <row r="528" spans="1:6" hidden="1" x14ac:dyDescent="0.25">
      <c r="A528" s="85" t="s">
        <v>1078</v>
      </c>
      <c r="B528" s="85">
        <v>2405</v>
      </c>
      <c r="C528" s="84" t="s">
        <v>922</v>
      </c>
      <c r="D528" s="84" t="s">
        <v>1079</v>
      </c>
      <c r="E528" s="84" t="s">
        <v>955</v>
      </c>
      <c r="F528" s="84" t="s">
        <v>1043</v>
      </c>
    </row>
    <row r="529" spans="1:6" hidden="1" x14ac:dyDescent="0.25">
      <c r="A529" s="85" t="s">
        <v>2531</v>
      </c>
      <c r="B529" s="85">
        <v>2510</v>
      </c>
      <c r="C529" s="84" t="s">
        <v>922</v>
      </c>
      <c r="D529" s="84" t="s">
        <v>2532</v>
      </c>
      <c r="E529" s="84" t="s">
        <v>955</v>
      </c>
      <c r="F529" s="84" t="s">
        <v>1043</v>
      </c>
    </row>
    <row r="530" spans="1:6" hidden="1" x14ac:dyDescent="0.25">
      <c r="A530" s="85" t="s">
        <v>2533</v>
      </c>
      <c r="B530" s="85">
        <v>2624</v>
      </c>
      <c r="C530" s="84" t="s">
        <v>922</v>
      </c>
      <c r="D530" s="84" t="s">
        <v>353</v>
      </c>
      <c r="E530" s="84" t="s">
        <v>955</v>
      </c>
      <c r="F530" s="84" t="s">
        <v>1043</v>
      </c>
    </row>
    <row r="531" spans="1:6" hidden="1" x14ac:dyDescent="0.25">
      <c r="A531" s="85" t="s">
        <v>2534</v>
      </c>
      <c r="B531" s="85">
        <v>2719</v>
      </c>
      <c r="C531" s="84" t="s">
        <v>922</v>
      </c>
      <c r="D531" s="84" t="s">
        <v>2535</v>
      </c>
      <c r="E531" s="84" t="s">
        <v>955</v>
      </c>
      <c r="F531" s="84" t="s">
        <v>1043</v>
      </c>
    </row>
    <row r="532" spans="1:6" hidden="1" x14ac:dyDescent="0.25">
      <c r="A532" s="85" t="s">
        <v>2536</v>
      </c>
      <c r="B532" s="85" t="s">
        <v>2537</v>
      </c>
      <c r="C532" s="84" t="s">
        <v>922</v>
      </c>
      <c r="D532" s="84" t="s">
        <v>2538</v>
      </c>
      <c r="E532" s="84" t="s">
        <v>955</v>
      </c>
      <c r="F532" s="84" t="s">
        <v>1043</v>
      </c>
    </row>
    <row r="533" spans="1:6" x14ac:dyDescent="0.25">
      <c r="A533" s="85" t="s">
        <v>757</v>
      </c>
      <c r="B533" s="85" t="s">
        <v>2539</v>
      </c>
      <c r="C533" s="84" t="s">
        <v>922</v>
      </c>
      <c r="D533" s="84" t="s">
        <v>2540</v>
      </c>
      <c r="E533" s="84" t="s">
        <v>955</v>
      </c>
      <c r="F533" s="84" t="s">
        <v>1343</v>
      </c>
    </row>
    <row r="534" spans="1:6" x14ac:dyDescent="0.25">
      <c r="A534" s="85" t="s">
        <v>759</v>
      </c>
      <c r="B534" s="85" t="s">
        <v>2541</v>
      </c>
      <c r="C534" s="84" t="s">
        <v>922</v>
      </c>
      <c r="D534" s="84" t="s">
        <v>2542</v>
      </c>
      <c r="E534" s="84" t="s">
        <v>955</v>
      </c>
      <c r="F534" s="84" t="s">
        <v>1043</v>
      </c>
    </row>
    <row r="535" spans="1:6" x14ac:dyDescent="0.25">
      <c r="A535" s="85" t="s">
        <v>761</v>
      </c>
      <c r="B535" s="85" t="s">
        <v>2543</v>
      </c>
      <c r="C535" s="84" t="s">
        <v>922</v>
      </c>
      <c r="D535" s="84" t="s">
        <v>2544</v>
      </c>
      <c r="E535" s="84" t="s">
        <v>955</v>
      </c>
      <c r="F535" s="84" t="s">
        <v>1043</v>
      </c>
    </row>
    <row r="536" spans="1:6" x14ac:dyDescent="0.25">
      <c r="A536" s="85" t="s">
        <v>763</v>
      </c>
      <c r="B536" s="85" t="s">
        <v>2545</v>
      </c>
      <c r="C536" s="84" t="s">
        <v>922</v>
      </c>
      <c r="D536" s="84" t="s">
        <v>2546</v>
      </c>
      <c r="E536" s="84" t="s">
        <v>955</v>
      </c>
      <c r="F536" s="84" t="s">
        <v>1043</v>
      </c>
    </row>
    <row r="537" spans="1:6" hidden="1" x14ac:dyDescent="0.25">
      <c r="A537" s="85" t="s">
        <v>2547</v>
      </c>
      <c r="B537" s="85">
        <v>9685</v>
      </c>
      <c r="C537" s="84" t="s">
        <v>922</v>
      </c>
      <c r="D537" s="84" t="s">
        <v>442</v>
      </c>
      <c r="E537" s="84" t="s">
        <v>955</v>
      </c>
      <c r="F537" s="84" t="s">
        <v>1043</v>
      </c>
    </row>
    <row r="538" spans="1:6" hidden="1" x14ac:dyDescent="0.25">
      <c r="A538" s="85">
        <v>1137</v>
      </c>
      <c r="B538" s="85">
        <v>1137</v>
      </c>
      <c r="C538" s="84" t="s">
        <v>958</v>
      </c>
      <c r="D538" s="84" t="s">
        <v>2548</v>
      </c>
      <c r="E538" s="84" t="s">
        <v>955</v>
      </c>
      <c r="F538" s="84" t="s">
        <v>1043</v>
      </c>
    </row>
    <row r="539" spans="1:6" hidden="1" x14ac:dyDescent="0.25">
      <c r="A539" s="85">
        <v>7001</v>
      </c>
      <c r="B539" s="85">
        <v>7001</v>
      </c>
      <c r="C539" s="84" t="s">
        <v>958</v>
      </c>
      <c r="D539" s="84" t="s">
        <v>354</v>
      </c>
      <c r="E539" s="84" t="s">
        <v>955</v>
      </c>
      <c r="F539" s="84" t="s">
        <v>1043</v>
      </c>
    </row>
    <row r="540" spans="1:6" hidden="1" x14ac:dyDescent="0.25">
      <c r="A540" s="85">
        <v>7002</v>
      </c>
      <c r="B540" s="85">
        <v>7002</v>
      </c>
      <c r="C540" s="84" t="s">
        <v>958</v>
      </c>
      <c r="D540" s="84" t="s">
        <v>355</v>
      </c>
      <c r="E540" s="84" t="s">
        <v>955</v>
      </c>
      <c r="F540" s="84" t="s">
        <v>1043</v>
      </c>
    </row>
    <row r="541" spans="1:6" hidden="1" x14ac:dyDescent="0.25">
      <c r="A541" s="85">
        <v>7003</v>
      </c>
      <c r="B541" s="85">
        <v>7003</v>
      </c>
      <c r="C541" s="84" t="s">
        <v>958</v>
      </c>
      <c r="D541" s="84" t="s">
        <v>1100</v>
      </c>
      <c r="E541" s="84" t="s">
        <v>955</v>
      </c>
      <c r="F541" s="84" t="s">
        <v>1043</v>
      </c>
    </row>
    <row r="542" spans="1:6" hidden="1" x14ac:dyDescent="0.25">
      <c r="A542" s="85">
        <v>7004</v>
      </c>
      <c r="B542" s="85">
        <v>7004</v>
      </c>
      <c r="C542" s="84" t="s">
        <v>958</v>
      </c>
      <c r="D542" s="84" t="s">
        <v>1101</v>
      </c>
      <c r="E542" s="84" t="s">
        <v>955</v>
      </c>
      <c r="F542" s="84" t="s">
        <v>1043</v>
      </c>
    </row>
    <row r="543" spans="1:6" hidden="1" x14ac:dyDescent="0.25">
      <c r="A543" s="85">
        <v>7005</v>
      </c>
      <c r="B543" s="85">
        <v>7005</v>
      </c>
      <c r="C543" s="84" t="s">
        <v>958</v>
      </c>
      <c r="D543" s="84" t="s">
        <v>356</v>
      </c>
      <c r="E543" s="84" t="s">
        <v>955</v>
      </c>
      <c r="F543" s="84" t="s">
        <v>1043</v>
      </c>
    </row>
    <row r="544" spans="1:6" hidden="1" x14ac:dyDescent="0.25">
      <c r="A544" s="85">
        <v>7009</v>
      </c>
      <c r="B544" s="85">
        <v>7009</v>
      </c>
      <c r="C544" s="84" t="s">
        <v>958</v>
      </c>
      <c r="D544" s="84" t="s">
        <v>2549</v>
      </c>
      <c r="E544" s="84" t="s">
        <v>955</v>
      </c>
      <c r="F544" s="84" t="s">
        <v>1043</v>
      </c>
    </row>
    <row r="545" spans="1:6" hidden="1" x14ac:dyDescent="0.25">
      <c r="A545" s="85">
        <v>7010</v>
      </c>
      <c r="B545" s="85">
        <v>7010</v>
      </c>
      <c r="C545" s="84" t="s">
        <v>958</v>
      </c>
      <c r="D545" s="84" t="s">
        <v>1102</v>
      </c>
      <c r="E545" s="84" t="s">
        <v>955</v>
      </c>
      <c r="F545" s="84" t="s">
        <v>1043</v>
      </c>
    </row>
    <row r="546" spans="1:6" hidden="1" x14ac:dyDescent="0.25">
      <c r="A546" s="85">
        <v>7011</v>
      </c>
      <c r="B546" s="85">
        <v>7011</v>
      </c>
      <c r="C546" s="84" t="s">
        <v>958</v>
      </c>
      <c r="D546" s="84" t="s">
        <v>2550</v>
      </c>
      <c r="E546" s="84" t="s">
        <v>955</v>
      </c>
      <c r="F546" s="84" t="s">
        <v>1043</v>
      </c>
    </row>
    <row r="547" spans="1:6" hidden="1" x14ac:dyDescent="0.25">
      <c r="A547" s="85">
        <v>7012</v>
      </c>
      <c r="B547" s="85">
        <v>7012</v>
      </c>
      <c r="C547" s="84" t="s">
        <v>958</v>
      </c>
      <c r="D547" s="84" t="s">
        <v>1103</v>
      </c>
      <c r="E547" s="84" t="s">
        <v>955</v>
      </c>
      <c r="F547" s="84" t="s">
        <v>1043</v>
      </c>
    </row>
    <row r="548" spans="1:6" hidden="1" x14ac:dyDescent="0.25">
      <c r="A548" s="85">
        <v>7013</v>
      </c>
      <c r="B548" s="85">
        <v>7013</v>
      </c>
      <c r="C548" s="84" t="s">
        <v>958</v>
      </c>
      <c r="D548" s="84" t="s">
        <v>1104</v>
      </c>
      <c r="E548" s="84" t="s">
        <v>955</v>
      </c>
      <c r="F548" s="84" t="s">
        <v>1043</v>
      </c>
    </row>
    <row r="549" spans="1:6" hidden="1" x14ac:dyDescent="0.25">
      <c r="A549" s="85">
        <v>7014</v>
      </c>
      <c r="B549" s="85">
        <v>7014</v>
      </c>
      <c r="C549" s="84" t="s">
        <v>958</v>
      </c>
      <c r="D549" s="84" t="s">
        <v>2551</v>
      </c>
      <c r="E549" s="84" t="s">
        <v>955</v>
      </c>
      <c r="F549" s="84" t="s">
        <v>1043</v>
      </c>
    </row>
    <row r="550" spans="1:6" hidden="1" x14ac:dyDescent="0.25">
      <c r="A550" s="85">
        <v>7015</v>
      </c>
      <c r="B550" s="85">
        <v>7015</v>
      </c>
      <c r="C550" s="84" t="s">
        <v>958</v>
      </c>
      <c r="D550" s="84" t="s">
        <v>1105</v>
      </c>
      <c r="E550" s="84" t="s">
        <v>955</v>
      </c>
      <c r="F550" s="84" t="s">
        <v>1043</v>
      </c>
    </row>
    <row r="551" spans="1:6" hidden="1" x14ac:dyDescent="0.25">
      <c r="A551" s="85">
        <v>7016</v>
      </c>
      <c r="B551" s="85">
        <v>7016</v>
      </c>
      <c r="C551" s="84" t="s">
        <v>958</v>
      </c>
      <c r="D551" s="84" t="s">
        <v>1106</v>
      </c>
      <c r="E551" s="84" t="s">
        <v>955</v>
      </c>
      <c r="F551" s="84" t="s">
        <v>1043</v>
      </c>
    </row>
    <row r="552" spans="1:6" hidden="1" x14ac:dyDescent="0.25">
      <c r="A552" s="85">
        <v>7017</v>
      </c>
      <c r="B552" s="85">
        <v>7017</v>
      </c>
      <c r="C552" s="84" t="s">
        <v>958</v>
      </c>
      <c r="D552" s="84" t="s">
        <v>1107</v>
      </c>
      <c r="E552" s="84" t="s">
        <v>955</v>
      </c>
      <c r="F552" s="84" t="s">
        <v>1043</v>
      </c>
    </row>
    <row r="553" spans="1:6" hidden="1" x14ac:dyDescent="0.25">
      <c r="A553" s="85">
        <v>7018</v>
      </c>
      <c r="B553" s="85">
        <v>7018</v>
      </c>
      <c r="C553" s="84" t="s">
        <v>958</v>
      </c>
      <c r="D553" s="84" t="s">
        <v>2552</v>
      </c>
      <c r="E553" s="84" t="s">
        <v>955</v>
      </c>
      <c r="F553" s="84" t="s">
        <v>1043</v>
      </c>
    </row>
    <row r="554" spans="1:6" hidden="1" x14ac:dyDescent="0.25">
      <c r="A554" s="85">
        <v>7019</v>
      </c>
      <c r="B554" s="85">
        <v>7019</v>
      </c>
      <c r="C554" s="84" t="s">
        <v>958</v>
      </c>
      <c r="D554" s="84" t="s">
        <v>1108</v>
      </c>
      <c r="E554" s="84" t="s">
        <v>955</v>
      </c>
      <c r="F554" s="84" t="s">
        <v>1043</v>
      </c>
    </row>
    <row r="555" spans="1:6" hidden="1" x14ac:dyDescent="0.25">
      <c r="A555" s="85">
        <v>7020</v>
      </c>
      <c r="B555" s="85">
        <v>7020</v>
      </c>
      <c r="C555" s="84" t="s">
        <v>958</v>
      </c>
      <c r="D555" s="84" t="s">
        <v>2553</v>
      </c>
      <c r="E555" s="84" t="s">
        <v>955</v>
      </c>
      <c r="F555" s="84" t="s">
        <v>1043</v>
      </c>
    </row>
    <row r="556" spans="1:6" hidden="1" x14ac:dyDescent="0.25">
      <c r="A556" s="85">
        <v>7022</v>
      </c>
      <c r="B556" s="85">
        <v>7022</v>
      </c>
      <c r="C556" s="84" t="s">
        <v>958</v>
      </c>
      <c r="D556" s="84" t="s">
        <v>1109</v>
      </c>
      <c r="E556" s="84" t="s">
        <v>955</v>
      </c>
      <c r="F556" s="84" t="s">
        <v>1043</v>
      </c>
    </row>
    <row r="557" spans="1:6" hidden="1" x14ac:dyDescent="0.25">
      <c r="A557" s="85">
        <v>7024</v>
      </c>
      <c r="B557" s="85">
        <v>7024</v>
      </c>
      <c r="C557" s="84" t="s">
        <v>958</v>
      </c>
      <c r="D557" s="84" t="s">
        <v>2554</v>
      </c>
      <c r="E557" s="84" t="s">
        <v>955</v>
      </c>
      <c r="F557" s="84" t="s">
        <v>1043</v>
      </c>
    </row>
    <row r="558" spans="1:6" hidden="1" x14ac:dyDescent="0.25">
      <c r="A558" s="85">
        <v>7025</v>
      </c>
      <c r="B558" s="85">
        <v>7025</v>
      </c>
      <c r="C558" s="84" t="s">
        <v>958</v>
      </c>
      <c r="D558" s="84" t="s">
        <v>1110</v>
      </c>
      <c r="E558" s="84" t="s">
        <v>955</v>
      </c>
      <c r="F558" s="84" t="s">
        <v>1043</v>
      </c>
    </row>
    <row r="559" spans="1:6" hidden="1" x14ac:dyDescent="0.25">
      <c r="A559" s="85">
        <v>7027</v>
      </c>
      <c r="B559" s="85">
        <v>7027</v>
      </c>
      <c r="C559" s="84" t="s">
        <v>958</v>
      </c>
      <c r="D559" s="84" t="s">
        <v>425</v>
      </c>
      <c r="E559" s="84" t="s">
        <v>955</v>
      </c>
      <c r="F559" s="84" t="s">
        <v>1043</v>
      </c>
    </row>
    <row r="560" spans="1:6" hidden="1" x14ac:dyDescent="0.25">
      <c r="A560" s="85">
        <v>7028</v>
      </c>
      <c r="B560" s="85">
        <v>7028</v>
      </c>
      <c r="C560" s="84" t="s">
        <v>958</v>
      </c>
      <c r="D560" s="84" t="s">
        <v>1111</v>
      </c>
      <c r="E560" s="84" t="s">
        <v>955</v>
      </c>
      <c r="F560" s="84" t="s">
        <v>1043</v>
      </c>
    </row>
    <row r="561" spans="1:6" hidden="1" x14ac:dyDescent="0.25">
      <c r="A561" s="85">
        <v>7029</v>
      </c>
      <c r="B561" s="85">
        <v>7029</v>
      </c>
      <c r="C561" s="84" t="s">
        <v>958</v>
      </c>
      <c r="D561" s="84" t="s">
        <v>1112</v>
      </c>
      <c r="E561" s="84" t="s">
        <v>955</v>
      </c>
      <c r="F561" s="84" t="s">
        <v>1043</v>
      </c>
    </row>
    <row r="562" spans="1:6" hidden="1" x14ac:dyDescent="0.25">
      <c r="A562" s="85">
        <v>7030</v>
      </c>
      <c r="B562" s="85">
        <v>7030</v>
      </c>
      <c r="C562" s="84" t="s">
        <v>958</v>
      </c>
      <c r="D562" s="84" t="s">
        <v>1113</v>
      </c>
      <c r="E562" s="84" t="s">
        <v>955</v>
      </c>
      <c r="F562" s="84" t="s">
        <v>1043</v>
      </c>
    </row>
    <row r="563" spans="1:6" hidden="1" x14ac:dyDescent="0.25">
      <c r="A563" s="85">
        <v>7031</v>
      </c>
      <c r="B563" s="85">
        <v>7031</v>
      </c>
      <c r="C563" s="84" t="s">
        <v>958</v>
      </c>
      <c r="D563" s="84" t="s">
        <v>1114</v>
      </c>
      <c r="E563" s="84" t="s">
        <v>955</v>
      </c>
      <c r="F563" s="84" t="s">
        <v>1043</v>
      </c>
    </row>
    <row r="564" spans="1:6" hidden="1" x14ac:dyDescent="0.25">
      <c r="A564" s="85">
        <v>7032</v>
      </c>
      <c r="B564" s="85">
        <v>7032</v>
      </c>
      <c r="C564" s="84" t="s">
        <v>958</v>
      </c>
      <c r="D564" s="84" t="s">
        <v>1115</v>
      </c>
      <c r="E564" s="84" t="s">
        <v>955</v>
      </c>
      <c r="F564" s="84" t="s">
        <v>1043</v>
      </c>
    </row>
    <row r="565" spans="1:6" hidden="1" x14ac:dyDescent="0.25">
      <c r="A565" s="85">
        <v>7033</v>
      </c>
      <c r="B565" s="85">
        <v>7033</v>
      </c>
      <c r="C565" s="84" t="s">
        <v>958</v>
      </c>
      <c r="D565" s="84" t="s">
        <v>1116</v>
      </c>
      <c r="E565" s="84" t="s">
        <v>955</v>
      </c>
      <c r="F565" s="84" t="s">
        <v>1043</v>
      </c>
    </row>
    <row r="566" spans="1:6" hidden="1" x14ac:dyDescent="0.25">
      <c r="A566" s="85">
        <v>7034</v>
      </c>
      <c r="B566" s="85">
        <v>7034</v>
      </c>
      <c r="C566" s="84" t="s">
        <v>958</v>
      </c>
      <c r="D566" s="84" t="s">
        <v>1117</v>
      </c>
      <c r="E566" s="84" t="s">
        <v>955</v>
      </c>
      <c r="F566" s="84" t="s">
        <v>1043</v>
      </c>
    </row>
    <row r="567" spans="1:6" hidden="1" x14ac:dyDescent="0.25">
      <c r="A567" s="85">
        <v>7035</v>
      </c>
      <c r="B567" s="85">
        <v>7035</v>
      </c>
      <c r="C567" s="84" t="s">
        <v>958</v>
      </c>
      <c r="D567" s="84" t="s">
        <v>357</v>
      </c>
      <c r="E567" s="84" t="s">
        <v>955</v>
      </c>
      <c r="F567" s="84" t="s">
        <v>1043</v>
      </c>
    </row>
    <row r="568" spans="1:6" hidden="1" x14ac:dyDescent="0.25">
      <c r="A568" s="85">
        <v>7036</v>
      </c>
      <c r="B568" s="85">
        <v>7036</v>
      </c>
      <c r="C568" s="84" t="s">
        <v>958</v>
      </c>
      <c r="D568" s="84" t="s">
        <v>1118</v>
      </c>
      <c r="E568" s="84" t="s">
        <v>955</v>
      </c>
      <c r="F568" s="84" t="s">
        <v>1043</v>
      </c>
    </row>
    <row r="569" spans="1:6" hidden="1" x14ac:dyDescent="0.25">
      <c r="A569" s="85">
        <v>7037</v>
      </c>
      <c r="B569" s="85">
        <v>7037</v>
      </c>
      <c r="C569" s="84" t="s">
        <v>958</v>
      </c>
      <c r="D569" s="84" t="s">
        <v>1119</v>
      </c>
      <c r="E569" s="84" t="s">
        <v>955</v>
      </c>
      <c r="F569" s="84" t="s">
        <v>1043</v>
      </c>
    </row>
    <row r="570" spans="1:6" hidden="1" x14ac:dyDescent="0.25">
      <c r="A570" s="85">
        <v>7038</v>
      </c>
      <c r="B570" s="85">
        <v>7038</v>
      </c>
      <c r="C570" s="84" t="s">
        <v>958</v>
      </c>
      <c r="D570" s="84" t="s">
        <v>2555</v>
      </c>
      <c r="E570" s="84" t="s">
        <v>955</v>
      </c>
      <c r="F570" s="84" t="s">
        <v>1043</v>
      </c>
    </row>
    <row r="571" spans="1:6" hidden="1" x14ac:dyDescent="0.25">
      <c r="A571" s="85">
        <v>7039</v>
      </c>
      <c r="B571" s="85">
        <v>7039</v>
      </c>
      <c r="C571" s="84" t="s">
        <v>958</v>
      </c>
      <c r="D571" s="84" t="s">
        <v>1120</v>
      </c>
      <c r="E571" s="84" t="s">
        <v>955</v>
      </c>
      <c r="F571" s="84" t="s">
        <v>1043</v>
      </c>
    </row>
    <row r="572" spans="1:6" hidden="1" x14ac:dyDescent="0.25">
      <c r="A572" s="85">
        <v>7040</v>
      </c>
      <c r="B572" s="85">
        <v>7040</v>
      </c>
      <c r="C572" s="84" t="s">
        <v>958</v>
      </c>
      <c r="D572" s="84" t="s">
        <v>358</v>
      </c>
      <c r="E572" s="84" t="s">
        <v>955</v>
      </c>
      <c r="F572" s="84" t="s">
        <v>1043</v>
      </c>
    </row>
    <row r="573" spans="1:6" hidden="1" x14ac:dyDescent="0.25">
      <c r="A573" s="85">
        <v>7041</v>
      </c>
      <c r="B573" s="85">
        <v>7041</v>
      </c>
      <c r="C573" s="84" t="s">
        <v>958</v>
      </c>
      <c r="D573" s="84" t="s">
        <v>1121</v>
      </c>
      <c r="E573" s="84" t="s">
        <v>955</v>
      </c>
      <c r="F573" s="84" t="s">
        <v>1043</v>
      </c>
    </row>
    <row r="574" spans="1:6" hidden="1" x14ac:dyDescent="0.25">
      <c r="A574" s="85">
        <v>7042</v>
      </c>
      <c r="B574" s="85">
        <v>7042</v>
      </c>
      <c r="C574" s="84" t="s">
        <v>958</v>
      </c>
      <c r="D574" s="84" t="s">
        <v>1122</v>
      </c>
      <c r="E574" s="84" t="s">
        <v>955</v>
      </c>
      <c r="F574" s="84" t="s">
        <v>1043</v>
      </c>
    </row>
    <row r="575" spans="1:6" hidden="1" x14ac:dyDescent="0.25">
      <c r="A575" s="85">
        <v>7043</v>
      </c>
      <c r="B575" s="85">
        <v>7043</v>
      </c>
      <c r="C575" s="84" t="s">
        <v>958</v>
      </c>
      <c r="D575" s="84" t="s">
        <v>2556</v>
      </c>
      <c r="E575" s="84" t="s">
        <v>955</v>
      </c>
      <c r="F575" s="84" t="s">
        <v>1043</v>
      </c>
    </row>
    <row r="576" spans="1:6" hidden="1" x14ac:dyDescent="0.25">
      <c r="A576" s="85">
        <v>7044</v>
      </c>
      <c r="B576" s="85">
        <v>7044</v>
      </c>
      <c r="C576" s="84" t="s">
        <v>958</v>
      </c>
      <c r="D576" s="84" t="s">
        <v>2557</v>
      </c>
      <c r="E576" s="84" t="s">
        <v>955</v>
      </c>
      <c r="F576" s="84" t="s">
        <v>1043</v>
      </c>
    </row>
    <row r="577" spans="1:6" hidden="1" x14ac:dyDescent="0.25">
      <c r="A577" s="85">
        <v>7045</v>
      </c>
      <c r="B577" s="85">
        <v>7045</v>
      </c>
      <c r="C577" s="84" t="s">
        <v>958</v>
      </c>
      <c r="D577" s="84" t="s">
        <v>2558</v>
      </c>
      <c r="E577" s="84" t="s">
        <v>955</v>
      </c>
      <c r="F577" s="84" t="s">
        <v>1043</v>
      </c>
    </row>
    <row r="578" spans="1:6" hidden="1" x14ac:dyDescent="0.25">
      <c r="A578" s="85">
        <v>7046</v>
      </c>
      <c r="B578" s="85">
        <v>7046</v>
      </c>
      <c r="C578" s="84" t="s">
        <v>958</v>
      </c>
      <c r="D578" s="84" t="s">
        <v>1123</v>
      </c>
      <c r="E578" s="84" t="s">
        <v>955</v>
      </c>
      <c r="F578" s="84" t="s">
        <v>1043</v>
      </c>
    </row>
    <row r="579" spans="1:6" hidden="1" x14ac:dyDescent="0.25">
      <c r="A579" s="85">
        <v>7047</v>
      </c>
      <c r="B579" s="85">
        <v>7047</v>
      </c>
      <c r="C579" s="84" t="s">
        <v>958</v>
      </c>
      <c r="D579" s="84" t="s">
        <v>1124</v>
      </c>
      <c r="E579" s="84" t="s">
        <v>955</v>
      </c>
      <c r="F579" s="84" t="s">
        <v>1043</v>
      </c>
    </row>
    <row r="580" spans="1:6" hidden="1" x14ac:dyDescent="0.25">
      <c r="A580" s="85">
        <v>7048</v>
      </c>
      <c r="B580" s="85">
        <v>7048</v>
      </c>
      <c r="C580" s="84" t="s">
        <v>958</v>
      </c>
      <c r="D580" s="84" t="s">
        <v>1125</v>
      </c>
      <c r="E580" s="84" t="s">
        <v>955</v>
      </c>
      <c r="F580" s="84" t="s">
        <v>1043</v>
      </c>
    </row>
    <row r="581" spans="1:6" hidden="1" x14ac:dyDescent="0.25">
      <c r="A581" s="85">
        <v>7049</v>
      </c>
      <c r="B581" s="85">
        <v>7049</v>
      </c>
      <c r="C581" s="84" t="s">
        <v>958</v>
      </c>
      <c r="D581" s="84" t="s">
        <v>1126</v>
      </c>
      <c r="E581" s="84" t="s">
        <v>955</v>
      </c>
      <c r="F581" s="84" t="s">
        <v>1043</v>
      </c>
    </row>
    <row r="582" spans="1:6" hidden="1" x14ac:dyDescent="0.25">
      <c r="A582" s="85">
        <v>7050</v>
      </c>
      <c r="B582" s="85">
        <v>7050</v>
      </c>
      <c r="C582" s="84" t="s">
        <v>958</v>
      </c>
      <c r="D582" s="84" t="s">
        <v>1127</v>
      </c>
      <c r="E582" s="84" t="s">
        <v>955</v>
      </c>
      <c r="F582" s="84" t="s">
        <v>1043</v>
      </c>
    </row>
    <row r="583" spans="1:6" hidden="1" x14ac:dyDescent="0.25">
      <c r="A583" s="85">
        <v>7051</v>
      </c>
      <c r="B583" s="85">
        <v>7051</v>
      </c>
      <c r="C583" s="84" t="s">
        <v>958</v>
      </c>
      <c r="D583" s="84" t="s">
        <v>1128</v>
      </c>
      <c r="E583" s="84" t="s">
        <v>955</v>
      </c>
      <c r="F583" s="84" t="s">
        <v>1043</v>
      </c>
    </row>
    <row r="584" spans="1:6" hidden="1" x14ac:dyDescent="0.25">
      <c r="A584" s="85">
        <v>7052</v>
      </c>
      <c r="B584" s="85">
        <v>7052</v>
      </c>
      <c r="C584" s="84" t="s">
        <v>958</v>
      </c>
      <c r="D584" s="84" t="s">
        <v>2559</v>
      </c>
      <c r="E584" s="84" t="s">
        <v>955</v>
      </c>
      <c r="F584" s="84" t="s">
        <v>1043</v>
      </c>
    </row>
    <row r="585" spans="1:6" hidden="1" x14ac:dyDescent="0.25">
      <c r="A585" s="85">
        <v>7053</v>
      </c>
      <c r="B585" s="85">
        <v>7053</v>
      </c>
      <c r="C585" s="84" t="s">
        <v>958</v>
      </c>
      <c r="D585" s="84" t="s">
        <v>1129</v>
      </c>
      <c r="E585" s="84" t="s">
        <v>955</v>
      </c>
      <c r="F585" s="84" t="s">
        <v>1043</v>
      </c>
    </row>
    <row r="586" spans="1:6" hidden="1" x14ac:dyDescent="0.25">
      <c r="A586" s="85">
        <v>7054</v>
      </c>
      <c r="B586" s="85">
        <v>7054</v>
      </c>
      <c r="C586" s="84" t="s">
        <v>958</v>
      </c>
      <c r="D586" s="84" t="s">
        <v>1130</v>
      </c>
      <c r="E586" s="84" t="s">
        <v>955</v>
      </c>
      <c r="F586" s="84" t="s">
        <v>1043</v>
      </c>
    </row>
    <row r="587" spans="1:6" hidden="1" x14ac:dyDescent="0.25">
      <c r="A587" s="85">
        <v>7055</v>
      </c>
      <c r="B587" s="85">
        <v>7055</v>
      </c>
      <c r="C587" s="84" t="s">
        <v>958</v>
      </c>
      <c r="D587" s="84" t="s">
        <v>1131</v>
      </c>
      <c r="E587" s="84" t="s">
        <v>955</v>
      </c>
      <c r="F587" s="84" t="s">
        <v>1043</v>
      </c>
    </row>
    <row r="588" spans="1:6" hidden="1" x14ac:dyDescent="0.25">
      <c r="A588" s="85">
        <v>7056</v>
      </c>
      <c r="B588" s="85">
        <v>7056</v>
      </c>
      <c r="C588" s="84" t="s">
        <v>958</v>
      </c>
      <c r="D588" s="84" t="s">
        <v>1132</v>
      </c>
      <c r="E588" s="84" t="s">
        <v>955</v>
      </c>
      <c r="F588" s="84" t="s">
        <v>1043</v>
      </c>
    </row>
    <row r="589" spans="1:6" hidden="1" x14ac:dyDescent="0.25">
      <c r="A589" s="85">
        <v>7059</v>
      </c>
      <c r="B589" s="85">
        <v>7059</v>
      </c>
      <c r="C589" s="84" t="s">
        <v>958</v>
      </c>
      <c r="D589" s="84" t="s">
        <v>359</v>
      </c>
      <c r="E589" s="84" t="s">
        <v>955</v>
      </c>
      <c r="F589" s="84" t="s">
        <v>1043</v>
      </c>
    </row>
    <row r="590" spans="1:6" hidden="1" x14ac:dyDescent="0.25">
      <c r="A590" s="85">
        <v>7060</v>
      </c>
      <c r="B590" s="85">
        <v>7060</v>
      </c>
      <c r="C590" s="84" t="s">
        <v>958</v>
      </c>
      <c r="D590" s="84" t="s">
        <v>1133</v>
      </c>
      <c r="E590" s="84" t="s">
        <v>955</v>
      </c>
      <c r="F590" s="84" t="s">
        <v>1043</v>
      </c>
    </row>
    <row r="591" spans="1:6" hidden="1" x14ac:dyDescent="0.25">
      <c r="A591" s="85">
        <v>7062</v>
      </c>
      <c r="B591" s="85">
        <v>7062</v>
      </c>
      <c r="C591" s="84" t="s">
        <v>958</v>
      </c>
      <c r="D591" s="84" t="s">
        <v>2560</v>
      </c>
      <c r="E591" s="84" t="s">
        <v>955</v>
      </c>
      <c r="F591" s="84" t="s">
        <v>1043</v>
      </c>
    </row>
    <row r="592" spans="1:6" hidden="1" x14ac:dyDescent="0.25">
      <c r="A592" s="85">
        <v>7063</v>
      </c>
      <c r="B592" s="85">
        <v>7063</v>
      </c>
      <c r="C592" s="84" t="s">
        <v>958</v>
      </c>
      <c r="D592" s="84" t="s">
        <v>360</v>
      </c>
      <c r="E592" s="84" t="s">
        <v>955</v>
      </c>
      <c r="F592" s="84" t="s">
        <v>1043</v>
      </c>
    </row>
    <row r="593" spans="1:6" hidden="1" x14ac:dyDescent="0.25">
      <c r="A593" s="85">
        <v>7064</v>
      </c>
      <c r="B593" s="85">
        <v>7064</v>
      </c>
      <c r="C593" s="84" t="s">
        <v>958</v>
      </c>
      <c r="D593" s="84" t="s">
        <v>1134</v>
      </c>
      <c r="E593" s="84" t="s">
        <v>955</v>
      </c>
      <c r="F593" s="84" t="s">
        <v>1043</v>
      </c>
    </row>
    <row r="594" spans="1:6" hidden="1" x14ac:dyDescent="0.25">
      <c r="A594" s="85">
        <v>7065</v>
      </c>
      <c r="B594" s="85">
        <v>7065</v>
      </c>
      <c r="C594" s="84" t="s">
        <v>958</v>
      </c>
      <c r="D594" s="84" t="s">
        <v>2561</v>
      </c>
      <c r="E594" s="84" t="s">
        <v>955</v>
      </c>
      <c r="F594" s="84" t="s">
        <v>1043</v>
      </c>
    </row>
    <row r="595" spans="1:6" hidden="1" x14ac:dyDescent="0.25">
      <c r="A595" s="85">
        <v>7069</v>
      </c>
      <c r="B595" s="85">
        <v>7069</v>
      </c>
      <c r="C595" s="84" t="s">
        <v>958</v>
      </c>
      <c r="D595" s="84" t="s">
        <v>361</v>
      </c>
      <c r="E595" s="84" t="s">
        <v>955</v>
      </c>
      <c r="F595" s="84" t="s">
        <v>1043</v>
      </c>
    </row>
    <row r="596" spans="1:6" hidden="1" x14ac:dyDescent="0.25">
      <c r="A596" s="85">
        <v>7070</v>
      </c>
      <c r="B596" s="85">
        <v>7070</v>
      </c>
      <c r="C596" s="84" t="s">
        <v>958</v>
      </c>
      <c r="D596" s="84" t="s">
        <v>1135</v>
      </c>
      <c r="E596" s="84" t="s">
        <v>955</v>
      </c>
      <c r="F596" s="84" t="s">
        <v>1043</v>
      </c>
    </row>
    <row r="597" spans="1:6" hidden="1" x14ac:dyDescent="0.25">
      <c r="A597" s="85">
        <v>7071</v>
      </c>
      <c r="B597" s="85">
        <v>7071</v>
      </c>
      <c r="C597" s="84" t="s">
        <v>958</v>
      </c>
      <c r="D597" s="84" t="s">
        <v>1136</v>
      </c>
      <c r="E597" s="84" t="s">
        <v>955</v>
      </c>
      <c r="F597" s="84" t="s">
        <v>1043</v>
      </c>
    </row>
    <row r="598" spans="1:6" hidden="1" x14ac:dyDescent="0.25">
      <c r="A598" s="85">
        <v>7072</v>
      </c>
      <c r="B598" s="85">
        <v>7072</v>
      </c>
      <c r="C598" s="84" t="s">
        <v>958</v>
      </c>
      <c r="D598" s="84" t="s">
        <v>1137</v>
      </c>
      <c r="E598" s="84" t="s">
        <v>955</v>
      </c>
      <c r="F598" s="84" t="s">
        <v>1043</v>
      </c>
    </row>
    <row r="599" spans="1:6" hidden="1" x14ac:dyDescent="0.25">
      <c r="A599" s="85">
        <v>7073</v>
      </c>
      <c r="B599" s="85">
        <v>7073</v>
      </c>
      <c r="C599" s="84" t="s">
        <v>958</v>
      </c>
      <c r="D599" s="84" t="s">
        <v>2562</v>
      </c>
      <c r="E599" s="84" t="s">
        <v>955</v>
      </c>
      <c r="F599" s="84" t="s">
        <v>1043</v>
      </c>
    </row>
    <row r="600" spans="1:6" hidden="1" x14ac:dyDescent="0.25">
      <c r="A600" s="85">
        <v>7075</v>
      </c>
      <c r="B600" s="85">
        <v>7075</v>
      </c>
      <c r="C600" s="84" t="s">
        <v>958</v>
      </c>
      <c r="D600" s="84" t="s">
        <v>2563</v>
      </c>
      <c r="E600" s="84" t="s">
        <v>955</v>
      </c>
      <c r="F600" s="84" t="s">
        <v>1043</v>
      </c>
    </row>
    <row r="601" spans="1:6" hidden="1" x14ac:dyDescent="0.25">
      <c r="A601" s="85">
        <v>7076</v>
      </c>
      <c r="B601" s="85">
        <v>7076</v>
      </c>
      <c r="C601" s="84" t="s">
        <v>958</v>
      </c>
      <c r="D601" s="84" t="s">
        <v>2564</v>
      </c>
      <c r="E601" s="84" t="s">
        <v>955</v>
      </c>
      <c r="F601" s="84" t="s">
        <v>1043</v>
      </c>
    </row>
    <row r="602" spans="1:6" hidden="1" x14ac:dyDescent="0.25">
      <c r="A602" s="85">
        <v>7077</v>
      </c>
      <c r="B602" s="85">
        <v>7077</v>
      </c>
      <c r="C602" s="84" t="s">
        <v>958</v>
      </c>
      <c r="D602" s="84" t="s">
        <v>362</v>
      </c>
      <c r="E602" s="84" t="s">
        <v>955</v>
      </c>
      <c r="F602" s="84" t="s">
        <v>1043</v>
      </c>
    </row>
    <row r="603" spans="1:6" hidden="1" x14ac:dyDescent="0.25">
      <c r="A603" s="85">
        <v>7078</v>
      </c>
      <c r="B603" s="85">
        <v>7078</v>
      </c>
      <c r="C603" s="84" t="s">
        <v>958</v>
      </c>
      <c r="D603" s="84" t="s">
        <v>1138</v>
      </c>
      <c r="E603" s="84" t="s">
        <v>955</v>
      </c>
      <c r="F603" s="84" t="s">
        <v>1043</v>
      </c>
    </row>
    <row r="604" spans="1:6" hidden="1" x14ac:dyDescent="0.25">
      <c r="A604" s="85">
        <v>7079</v>
      </c>
      <c r="B604" s="85">
        <v>7079</v>
      </c>
      <c r="C604" s="84" t="s">
        <v>958</v>
      </c>
      <c r="D604" s="84" t="s">
        <v>2565</v>
      </c>
      <c r="E604" s="84" t="s">
        <v>955</v>
      </c>
      <c r="F604" s="84" t="s">
        <v>1043</v>
      </c>
    </row>
    <row r="605" spans="1:6" hidden="1" x14ac:dyDescent="0.25">
      <c r="A605" s="85">
        <v>7080</v>
      </c>
      <c r="B605" s="85">
        <v>7080</v>
      </c>
      <c r="C605" s="84" t="s">
        <v>958</v>
      </c>
      <c r="D605" s="84" t="s">
        <v>340</v>
      </c>
      <c r="E605" s="84" t="s">
        <v>955</v>
      </c>
      <c r="F605" s="84" t="s">
        <v>1043</v>
      </c>
    </row>
    <row r="606" spans="1:6" hidden="1" x14ac:dyDescent="0.25">
      <c r="A606" s="85">
        <v>7081</v>
      </c>
      <c r="B606" s="85">
        <v>7081</v>
      </c>
      <c r="C606" s="84" t="s">
        <v>958</v>
      </c>
      <c r="D606" s="84" t="s">
        <v>1139</v>
      </c>
      <c r="E606" s="84" t="s">
        <v>955</v>
      </c>
      <c r="F606" s="84" t="s">
        <v>1043</v>
      </c>
    </row>
    <row r="607" spans="1:6" hidden="1" x14ac:dyDescent="0.25">
      <c r="A607" s="85">
        <v>7082</v>
      </c>
      <c r="B607" s="85">
        <v>7082</v>
      </c>
      <c r="C607" s="84" t="s">
        <v>958</v>
      </c>
      <c r="D607" s="84" t="s">
        <v>2566</v>
      </c>
      <c r="E607" s="84" t="s">
        <v>955</v>
      </c>
      <c r="F607" s="84" t="s">
        <v>1043</v>
      </c>
    </row>
    <row r="608" spans="1:6" hidden="1" x14ac:dyDescent="0.25">
      <c r="A608" s="85">
        <v>7083</v>
      </c>
      <c r="B608" s="85">
        <v>7083</v>
      </c>
      <c r="C608" s="84" t="s">
        <v>958</v>
      </c>
      <c r="D608" s="84" t="s">
        <v>1140</v>
      </c>
      <c r="E608" s="84" t="s">
        <v>955</v>
      </c>
      <c r="F608" s="84" t="s">
        <v>1043</v>
      </c>
    </row>
    <row r="609" spans="1:6" hidden="1" x14ac:dyDescent="0.25">
      <c r="A609" s="85">
        <v>7084</v>
      </c>
      <c r="B609" s="85">
        <v>7084</v>
      </c>
      <c r="C609" s="84" t="s">
        <v>958</v>
      </c>
      <c r="D609" s="84" t="s">
        <v>2567</v>
      </c>
      <c r="E609" s="84" t="s">
        <v>955</v>
      </c>
      <c r="F609" s="84" t="s">
        <v>1043</v>
      </c>
    </row>
    <row r="610" spans="1:6" hidden="1" x14ac:dyDescent="0.25">
      <c r="A610" s="85">
        <v>7085</v>
      </c>
      <c r="B610" s="85">
        <v>7085</v>
      </c>
      <c r="C610" s="84" t="s">
        <v>958</v>
      </c>
      <c r="D610" s="84" t="s">
        <v>2568</v>
      </c>
      <c r="E610" s="84" t="s">
        <v>955</v>
      </c>
      <c r="F610" s="84" t="s">
        <v>1043</v>
      </c>
    </row>
    <row r="611" spans="1:6" hidden="1" x14ac:dyDescent="0.25">
      <c r="A611" s="85">
        <v>7086</v>
      </c>
      <c r="B611" s="85">
        <v>7086</v>
      </c>
      <c r="C611" s="84" t="s">
        <v>958</v>
      </c>
      <c r="D611" s="84" t="s">
        <v>2569</v>
      </c>
      <c r="E611" s="84" t="s">
        <v>955</v>
      </c>
      <c r="F611" s="84" t="s">
        <v>1043</v>
      </c>
    </row>
    <row r="612" spans="1:6" hidden="1" x14ac:dyDescent="0.25">
      <c r="A612" s="85">
        <v>7087</v>
      </c>
      <c r="B612" s="85">
        <v>7087</v>
      </c>
      <c r="C612" s="84" t="s">
        <v>958</v>
      </c>
      <c r="D612" s="84" t="s">
        <v>2570</v>
      </c>
      <c r="E612" s="84" t="s">
        <v>955</v>
      </c>
      <c r="F612" s="84" t="s">
        <v>1043</v>
      </c>
    </row>
    <row r="613" spans="1:6" hidden="1" x14ac:dyDescent="0.25">
      <c r="A613" s="85">
        <v>7088</v>
      </c>
      <c r="B613" s="85">
        <v>7088</v>
      </c>
      <c r="C613" s="84" t="s">
        <v>958</v>
      </c>
      <c r="D613" s="84" t="s">
        <v>2571</v>
      </c>
      <c r="E613" s="84" t="s">
        <v>955</v>
      </c>
      <c r="F613" s="84" t="s">
        <v>1043</v>
      </c>
    </row>
    <row r="614" spans="1:6" hidden="1" x14ac:dyDescent="0.25">
      <c r="A614" s="85">
        <v>7090</v>
      </c>
      <c r="B614" s="85">
        <v>7090</v>
      </c>
      <c r="C614" s="84" t="s">
        <v>958</v>
      </c>
      <c r="D614" s="84" t="s">
        <v>1141</v>
      </c>
      <c r="E614" s="84" t="s">
        <v>955</v>
      </c>
      <c r="F614" s="84" t="s">
        <v>1043</v>
      </c>
    </row>
    <row r="615" spans="1:6" hidden="1" x14ac:dyDescent="0.25">
      <c r="A615" s="85">
        <v>7091</v>
      </c>
      <c r="B615" s="85">
        <v>7091</v>
      </c>
      <c r="C615" s="84" t="s">
        <v>958</v>
      </c>
      <c r="D615" s="84" t="s">
        <v>2572</v>
      </c>
      <c r="E615" s="84" t="s">
        <v>955</v>
      </c>
      <c r="F615" s="84" t="s">
        <v>1043</v>
      </c>
    </row>
    <row r="616" spans="1:6" hidden="1" x14ac:dyDescent="0.25">
      <c r="A616" s="85">
        <v>7092</v>
      </c>
      <c r="B616" s="85">
        <v>7092</v>
      </c>
      <c r="C616" s="84" t="s">
        <v>958</v>
      </c>
      <c r="D616" s="84" t="s">
        <v>1142</v>
      </c>
      <c r="E616" s="84" t="s">
        <v>955</v>
      </c>
      <c r="F616" s="84" t="s">
        <v>1043</v>
      </c>
    </row>
    <row r="617" spans="1:6" hidden="1" x14ac:dyDescent="0.25">
      <c r="A617" s="85">
        <v>7093</v>
      </c>
      <c r="B617" s="85">
        <v>7093</v>
      </c>
      <c r="C617" s="84" t="s">
        <v>958</v>
      </c>
      <c r="D617" s="84" t="s">
        <v>1143</v>
      </c>
      <c r="E617" s="84" t="s">
        <v>955</v>
      </c>
      <c r="F617" s="84" t="s">
        <v>1043</v>
      </c>
    </row>
    <row r="618" spans="1:6" hidden="1" x14ac:dyDescent="0.25">
      <c r="A618" s="85">
        <v>7094</v>
      </c>
      <c r="B618" s="85">
        <v>7094</v>
      </c>
      <c r="C618" s="84" t="s">
        <v>958</v>
      </c>
      <c r="D618" s="84" t="s">
        <v>363</v>
      </c>
      <c r="E618" s="84" t="s">
        <v>955</v>
      </c>
      <c r="F618" s="84" t="s">
        <v>1043</v>
      </c>
    </row>
    <row r="619" spans="1:6" hidden="1" x14ac:dyDescent="0.25">
      <c r="A619" s="85">
        <v>7096</v>
      </c>
      <c r="B619" s="85">
        <v>7096</v>
      </c>
      <c r="C619" s="84" t="s">
        <v>958</v>
      </c>
      <c r="D619" s="84" t="s">
        <v>1144</v>
      </c>
      <c r="E619" s="84" t="s">
        <v>955</v>
      </c>
      <c r="F619" s="84" t="s">
        <v>1043</v>
      </c>
    </row>
    <row r="620" spans="1:6" hidden="1" x14ac:dyDescent="0.25">
      <c r="A620" s="85">
        <v>7097</v>
      </c>
      <c r="B620" s="85">
        <v>7097</v>
      </c>
      <c r="C620" s="84" t="s">
        <v>958</v>
      </c>
      <c r="D620" s="84" t="s">
        <v>364</v>
      </c>
      <c r="E620" s="84" t="s">
        <v>955</v>
      </c>
      <c r="F620" s="84" t="s">
        <v>1043</v>
      </c>
    </row>
    <row r="621" spans="1:6" hidden="1" x14ac:dyDescent="0.25">
      <c r="A621" s="85">
        <v>7100</v>
      </c>
      <c r="B621" s="85">
        <v>7100</v>
      </c>
      <c r="C621" s="84" t="s">
        <v>958</v>
      </c>
      <c r="D621" s="84" t="s">
        <v>1145</v>
      </c>
      <c r="E621" s="84" t="s">
        <v>955</v>
      </c>
      <c r="F621" s="84" t="s">
        <v>1043</v>
      </c>
    </row>
    <row r="622" spans="1:6" hidden="1" x14ac:dyDescent="0.25">
      <c r="A622" s="85">
        <v>7101</v>
      </c>
      <c r="B622" s="85">
        <v>7101</v>
      </c>
      <c r="C622" s="84" t="s">
        <v>958</v>
      </c>
      <c r="D622" s="84" t="s">
        <v>2573</v>
      </c>
      <c r="E622" s="84" t="s">
        <v>955</v>
      </c>
      <c r="F622" s="84" t="s">
        <v>1043</v>
      </c>
    </row>
    <row r="623" spans="1:6" hidden="1" x14ac:dyDescent="0.25">
      <c r="A623" s="85">
        <v>7102</v>
      </c>
      <c r="B623" s="85">
        <v>7102</v>
      </c>
      <c r="C623" s="84" t="s">
        <v>958</v>
      </c>
      <c r="D623" s="84" t="s">
        <v>2574</v>
      </c>
      <c r="E623" s="84" t="s">
        <v>955</v>
      </c>
      <c r="F623" s="84" t="s">
        <v>1043</v>
      </c>
    </row>
    <row r="624" spans="1:6" hidden="1" x14ac:dyDescent="0.25">
      <c r="A624" s="85">
        <v>7103</v>
      </c>
      <c r="B624" s="85">
        <v>7103</v>
      </c>
      <c r="C624" s="84" t="s">
        <v>958</v>
      </c>
      <c r="D624" s="84" t="s">
        <v>1143</v>
      </c>
      <c r="E624" s="84" t="s">
        <v>955</v>
      </c>
      <c r="F624" s="84" t="s">
        <v>1043</v>
      </c>
    </row>
    <row r="625" spans="1:6" hidden="1" x14ac:dyDescent="0.25">
      <c r="A625" s="85">
        <v>7104</v>
      </c>
      <c r="B625" s="85">
        <v>7104</v>
      </c>
      <c r="C625" s="84" t="s">
        <v>958</v>
      </c>
      <c r="D625" s="84" t="s">
        <v>365</v>
      </c>
      <c r="E625" s="84" t="s">
        <v>955</v>
      </c>
      <c r="F625" s="84" t="s">
        <v>1043</v>
      </c>
    </row>
    <row r="626" spans="1:6" hidden="1" x14ac:dyDescent="0.25">
      <c r="A626" s="85">
        <v>7105</v>
      </c>
      <c r="B626" s="85">
        <v>7105</v>
      </c>
      <c r="C626" s="84" t="s">
        <v>958</v>
      </c>
      <c r="D626" s="84" t="s">
        <v>1146</v>
      </c>
      <c r="E626" s="84" t="s">
        <v>955</v>
      </c>
      <c r="F626" s="84" t="s">
        <v>1043</v>
      </c>
    </row>
    <row r="627" spans="1:6" hidden="1" x14ac:dyDescent="0.25">
      <c r="A627" s="85">
        <v>7111</v>
      </c>
      <c r="B627" s="85">
        <v>7111</v>
      </c>
      <c r="C627" s="84" t="s">
        <v>958</v>
      </c>
      <c r="D627" s="84" t="s">
        <v>366</v>
      </c>
      <c r="E627" s="84" t="s">
        <v>955</v>
      </c>
      <c r="F627" s="84" t="s">
        <v>1043</v>
      </c>
    </row>
    <row r="628" spans="1:6" hidden="1" x14ac:dyDescent="0.25">
      <c r="A628" s="85">
        <v>7112</v>
      </c>
      <c r="B628" s="85">
        <v>7112</v>
      </c>
      <c r="C628" s="84" t="s">
        <v>958</v>
      </c>
      <c r="D628" s="84" t="s">
        <v>1147</v>
      </c>
      <c r="E628" s="84" t="s">
        <v>955</v>
      </c>
      <c r="F628" s="84" t="s">
        <v>1043</v>
      </c>
    </row>
    <row r="629" spans="1:6" hidden="1" x14ac:dyDescent="0.25">
      <c r="A629" s="85">
        <v>7113</v>
      </c>
      <c r="B629" s="85">
        <v>7113</v>
      </c>
      <c r="C629" s="84" t="s">
        <v>958</v>
      </c>
      <c r="D629" s="84" t="s">
        <v>1148</v>
      </c>
      <c r="E629" s="84" t="s">
        <v>955</v>
      </c>
      <c r="F629" s="84" t="s">
        <v>1043</v>
      </c>
    </row>
    <row r="630" spans="1:6" hidden="1" x14ac:dyDescent="0.25">
      <c r="A630" s="85">
        <v>7114</v>
      </c>
      <c r="B630" s="85">
        <v>7114</v>
      </c>
      <c r="C630" s="84" t="s">
        <v>958</v>
      </c>
      <c r="D630" s="84" t="s">
        <v>2575</v>
      </c>
      <c r="E630" s="84" t="s">
        <v>955</v>
      </c>
      <c r="F630" s="84" t="s">
        <v>1043</v>
      </c>
    </row>
    <row r="631" spans="1:6" hidden="1" x14ac:dyDescent="0.25">
      <c r="A631" s="85">
        <v>7116</v>
      </c>
      <c r="B631" s="85">
        <v>7116</v>
      </c>
      <c r="C631" s="84" t="s">
        <v>958</v>
      </c>
      <c r="D631" s="84" t="s">
        <v>1149</v>
      </c>
      <c r="E631" s="84" t="s">
        <v>955</v>
      </c>
      <c r="F631" s="84" t="s">
        <v>1043</v>
      </c>
    </row>
    <row r="632" spans="1:6" hidden="1" x14ac:dyDescent="0.25">
      <c r="A632" s="85">
        <v>7117</v>
      </c>
      <c r="B632" s="85">
        <v>7117</v>
      </c>
      <c r="C632" s="84" t="s">
        <v>958</v>
      </c>
      <c r="D632" s="84" t="s">
        <v>1150</v>
      </c>
      <c r="E632" s="84" t="s">
        <v>955</v>
      </c>
      <c r="F632" s="84" t="s">
        <v>1043</v>
      </c>
    </row>
    <row r="633" spans="1:6" hidden="1" x14ac:dyDescent="0.25">
      <c r="A633" s="85">
        <v>7119</v>
      </c>
      <c r="B633" s="85">
        <v>7119</v>
      </c>
      <c r="C633" s="84" t="s">
        <v>958</v>
      </c>
      <c r="D633" s="84" t="s">
        <v>368</v>
      </c>
      <c r="E633" s="84" t="s">
        <v>955</v>
      </c>
      <c r="F633" s="84" t="s">
        <v>1043</v>
      </c>
    </row>
    <row r="634" spans="1:6" hidden="1" x14ac:dyDescent="0.25">
      <c r="A634" s="85">
        <v>7121</v>
      </c>
      <c r="B634" s="85">
        <v>7121</v>
      </c>
      <c r="C634" s="84" t="s">
        <v>958</v>
      </c>
      <c r="D634" s="84" t="s">
        <v>2576</v>
      </c>
      <c r="E634" s="84" t="s">
        <v>955</v>
      </c>
      <c r="F634" s="84" t="s">
        <v>1043</v>
      </c>
    </row>
    <row r="635" spans="1:6" hidden="1" x14ac:dyDescent="0.25">
      <c r="A635" s="85">
        <v>7124</v>
      </c>
      <c r="B635" s="85">
        <v>7124</v>
      </c>
      <c r="C635" s="84" t="s">
        <v>958</v>
      </c>
      <c r="D635" s="84" t="s">
        <v>2577</v>
      </c>
      <c r="E635" s="84" t="s">
        <v>955</v>
      </c>
      <c r="F635" s="84" t="s">
        <v>1043</v>
      </c>
    </row>
    <row r="636" spans="1:6" hidden="1" x14ac:dyDescent="0.25">
      <c r="A636" s="85">
        <v>7126</v>
      </c>
      <c r="B636" s="85">
        <v>7126</v>
      </c>
      <c r="C636" s="84" t="s">
        <v>958</v>
      </c>
      <c r="D636" s="84" t="s">
        <v>1151</v>
      </c>
      <c r="E636" s="84" t="s">
        <v>955</v>
      </c>
      <c r="F636" s="84" t="s">
        <v>1043</v>
      </c>
    </row>
    <row r="637" spans="1:6" hidden="1" x14ac:dyDescent="0.25">
      <c r="A637" s="85">
        <v>7127</v>
      </c>
      <c r="B637" s="85">
        <v>7127</v>
      </c>
      <c r="C637" s="84" t="s">
        <v>958</v>
      </c>
      <c r="D637" s="84" t="s">
        <v>1152</v>
      </c>
      <c r="E637" s="84" t="s">
        <v>955</v>
      </c>
      <c r="F637" s="84" t="s">
        <v>1043</v>
      </c>
    </row>
    <row r="638" spans="1:6" hidden="1" x14ac:dyDescent="0.25">
      <c r="A638" s="85">
        <v>7128</v>
      </c>
      <c r="B638" s="85">
        <v>7128</v>
      </c>
      <c r="C638" s="84" t="s">
        <v>958</v>
      </c>
      <c r="D638" s="84" t="s">
        <v>1153</v>
      </c>
      <c r="E638" s="84" t="s">
        <v>955</v>
      </c>
      <c r="F638" s="84" t="s">
        <v>1043</v>
      </c>
    </row>
    <row r="639" spans="1:6" hidden="1" x14ac:dyDescent="0.25">
      <c r="A639" s="85">
        <v>7129</v>
      </c>
      <c r="B639" s="85">
        <v>7129</v>
      </c>
      <c r="C639" s="84" t="s">
        <v>958</v>
      </c>
      <c r="D639" s="84" t="s">
        <v>1293</v>
      </c>
      <c r="E639" s="84" t="s">
        <v>955</v>
      </c>
      <c r="F639" s="84" t="s">
        <v>1043</v>
      </c>
    </row>
    <row r="640" spans="1:6" hidden="1" x14ac:dyDescent="0.25">
      <c r="A640" s="85">
        <v>7130</v>
      </c>
      <c r="B640" s="85">
        <v>7130</v>
      </c>
      <c r="C640" s="84" t="s">
        <v>958</v>
      </c>
      <c r="D640" s="84" t="s">
        <v>1154</v>
      </c>
      <c r="E640" s="84" t="s">
        <v>955</v>
      </c>
      <c r="F640" s="84" t="s">
        <v>1043</v>
      </c>
    </row>
    <row r="641" spans="1:6" hidden="1" x14ac:dyDescent="0.25">
      <c r="A641" s="85">
        <v>7131</v>
      </c>
      <c r="B641" s="85">
        <v>7131</v>
      </c>
      <c r="C641" s="84" t="s">
        <v>958</v>
      </c>
      <c r="D641" s="84" t="s">
        <v>2578</v>
      </c>
      <c r="E641" s="84" t="s">
        <v>955</v>
      </c>
      <c r="F641" s="84" t="s">
        <v>1043</v>
      </c>
    </row>
    <row r="642" spans="1:6" hidden="1" x14ac:dyDescent="0.25">
      <c r="A642" s="85">
        <v>7132</v>
      </c>
      <c r="B642" s="85">
        <v>7132</v>
      </c>
      <c r="C642" s="84" t="s">
        <v>958</v>
      </c>
      <c r="D642" s="84" t="s">
        <v>370</v>
      </c>
      <c r="E642" s="84" t="s">
        <v>955</v>
      </c>
      <c r="F642" s="84" t="s">
        <v>1043</v>
      </c>
    </row>
    <row r="643" spans="1:6" hidden="1" x14ac:dyDescent="0.25">
      <c r="A643" s="85">
        <v>7133</v>
      </c>
      <c r="B643" s="85">
        <v>7133</v>
      </c>
      <c r="C643" s="84" t="s">
        <v>958</v>
      </c>
      <c r="D643" s="84" t="s">
        <v>2579</v>
      </c>
      <c r="E643" s="84" t="s">
        <v>955</v>
      </c>
      <c r="F643" s="84" t="s">
        <v>1043</v>
      </c>
    </row>
    <row r="644" spans="1:6" hidden="1" x14ac:dyDescent="0.25">
      <c r="A644" s="85">
        <v>7134</v>
      </c>
      <c r="B644" s="85">
        <v>7134</v>
      </c>
      <c r="C644" s="84" t="s">
        <v>958</v>
      </c>
      <c r="D644" s="84" t="s">
        <v>2580</v>
      </c>
      <c r="E644" s="84" t="s">
        <v>955</v>
      </c>
      <c r="F644" s="84" t="s">
        <v>1043</v>
      </c>
    </row>
    <row r="645" spans="1:6" hidden="1" x14ac:dyDescent="0.25">
      <c r="A645" s="85">
        <v>7135</v>
      </c>
      <c r="B645" s="85">
        <v>7135</v>
      </c>
      <c r="C645" s="84" t="s">
        <v>958</v>
      </c>
      <c r="D645" s="84" t="s">
        <v>2581</v>
      </c>
      <c r="E645" s="84" t="s">
        <v>955</v>
      </c>
      <c r="F645" s="84" t="s">
        <v>1043</v>
      </c>
    </row>
    <row r="646" spans="1:6" hidden="1" x14ac:dyDescent="0.25">
      <c r="A646" s="85">
        <v>7136</v>
      </c>
      <c r="B646" s="85">
        <v>7136</v>
      </c>
      <c r="C646" s="84" t="s">
        <v>958</v>
      </c>
      <c r="D646" s="84" t="s">
        <v>1155</v>
      </c>
      <c r="E646" s="84" t="s">
        <v>955</v>
      </c>
      <c r="F646" s="84" t="s">
        <v>1043</v>
      </c>
    </row>
    <row r="647" spans="1:6" hidden="1" x14ac:dyDescent="0.25">
      <c r="A647" s="85">
        <v>7137</v>
      </c>
      <c r="B647" s="85">
        <v>7137</v>
      </c>
      <c r="C647" s="84" t="s">
        <v>958</v>
      </c>
      <c r="D647" s="84" t="s">
        <v>371</v>
      </c>
      <c r="E647" s="84" t="s">
        <v>955</v>
      </c>
      <c r="F647" s="84" t="s">
        <v>1043</v>
      </c>
    </row>
    <row r="648" spans="1:6" hidden="1" x14ac:dyDescent="0.25">
      <c r="A648" s="85">
        <v>7138</v>
      </c>
      <c r="B648" s="85">
        <v>7138</v>
      </c>
      <c r="C648" s="84" t="s">
        <v>958</v>
      </c>
      <c r="D648" s="84" t="s">
        <v>2582</v>
      </c>
      <c r="E648" s="84" t="s">
        <v>955</v>
      </c>
      <c r="F648" s="84" t="s">
        <v>1043</v>
      </c>
    </row>
    <row r="649" spans="1:6" hidden="1" x14ac:dyDescent="0.25">
      <c r="A649" s="85">
        <v>7139</v>
      </c>
      <c r="B649" s="85">
        <v>7139</v>
      </c>
      <c r="C649" s="84" t="s">
        <v>958</v>
      </c>
      <c r="D649" s="84" t="s">
        <v>2583</v>
      </c>
      <c r="E649" s="84" t="s">
        <v>955</v>
      </c>
      <c r="F649" s="84" t="s">
        <v>1043</v>
      </c>
    </row>
    <row r="650" spans="1:6" hidden="1" x14ac:dyDescent="0.25">
      <c r="A650" s="85">
        <v>7140</v>
      </c>
      <c r="B650" s="85">
        <v>7140</v>
      </c>
      <c r="C650" s="84" t="s">
        <v>958</v>
      </c>
      <c r="D650" s="84" t="s">
        <v>2584</v>
      </c>
      <c r="E650" s="84" t="s">
        <v>955</v>
      </c>
      <c r="F650" s="84" t="s">
        <v>1043</v>
      </c>
    </row>
    <row r="651" spans="1:6" hidden="1" x14ac:dyDescent="0.25">
      <c r="A651" s="85">
        <v>7141</v>
      </c>
      <c r="B651" s="85">
        <v>7141</v>
      </c>
      <c r="C651" s="84" t="s">
        <v>958</v>
      </c>
      <c r="D651" s="84" t="s">
        <v>1170</v>
      </c>
      <c r="E651" s="84" t="s">
        <v>955</v>
      </c>
      <c r="F651" s="84" t="s">
        <v>1043</v>
      </c>
    </row>
    <row r="652" spans="1:6" hidden="1" x14ac:dyDescent="0.25">
      <c r="A652" s="85">
        <v>7142</v>
      </c>
      <c r="B652" s="85">
        <v>7142</v>
      </c>
      <c r="C652" s="84" t="s">
        <v>958</v>
      </c>
      <c r="D652" s="84" t="s">
        <v>1156</v>
      </c>
      <c r="E652" s="84" t="s">
        <v>955</v>
      </c>
      <c r="F652" s="84" t="s">
        <v>1043</v>
      </c>
    </row>
    <row r="653" spans="1:6" hidden="1" x14ac:dyDescent="0.25">
      <c r="A653" s="85">
        <v>7143</v>
      </c>
      <c r="B653" s="85">
        <v>7143</v>
      </c>
      <c r="C653" s="84" t="s">
        <v>958</v>
      </c>
      <c r="D653" s="84" t="s">
        <v>2585</v>
      </c>
      <c r="E653" s="84" t="s">
        <v>955</v>
      </c>
      <c r="F653" s="84" t="s">
        <v>1043</v>
      </c>
    </row>
    <row r="654" spans="1:6" hidden="1" x14ac:dyDescent="0.25">
      <c r="A654" s="85">
        <v>7144</v>
      </c>
      <c r="B654" s="85">
        <v>7144</v>
      </c>
      <c r="C654" s="84" t="s">
        <v>958</v>
      </c>
      <c r="D654" s="84" t="s">
        <v>1157</v>
      </c>
      <c r="E654" s="84" t="s">
        <v>955</v>
      </c>
      <c r="F654" s="84" t="s">
        <v>1043</v>
      </c>
    </row>
    <row r="655" spans="1:6" hidden="1" x14ac:dyDescent="0.25">
      <c r="A655" s="85">
        <v>7145</v>
      </c>
      <c r="B655" s="85">
        <v>7145</v>
      </c>
      <c r="C655" s="84" t="s">
        <v>958</v>
      </c>
      <c r="D655" s="84" t="s">
        <v>2586</v>
      </c>
      <c r="E655" s="84" t="s">
        <v>955</v>
      </c>
      <c r="F655" s="84" t="s">
        <v>1043</v>
      </c>
    </row>
    <row r="656" spans="1:6" hidden="1" x14ac:dyDescent="0.25">
      <c r="A656" s="85">
        <v>7146</v>
      </c>
      <c r="B656" s="85">
        <v>7146</v>
      </c>
      <c r="C656" s="84" t="s">
        <v>958</v>
      </c>
      <c r="D656" s="84" t="s">
        <v>2587</v>
      </c>
      <c r="E656" s="84" t="s">
        <v>955</v>
      </c>
      <c r="F656" s="84" t="s">
        <v>1043</v>
      </c>
    </row>
    <row r="657" spans="1:6" hidden="1" x14ac:dyDescent="0.25">
      <c r="A657" s="85">
        <v>7147</v>
      </c>
      <c r="B657" s="85">
        <v>7147</v>
      </c>
      <c r="C657" s="84" t="s">
        <v>958</v>
      </c>
      <c r="D657" s="84" t="s">
        <v>2588</v>
      </c>
      <c r="E657" s="84" t="s">
        <v>955</v>
      </c>
      <c r="F657" s="84" t="s">
        <v>1043</v>
      </c>
    </row>
    <row r="658" spans="1:6" hidden="1" x14ac:dyDescent="0.25">
      <c r="A658" s="85">
        <v>7148</v>
      </c>
      <c r="B658" s="85">
        <v>7148</v>
      </c>
      <c r="C658" s="84" t="s">
        <v>958</v>
      </c>
      <c r="D658" s="84" t="s">
        <v>2589</v>
      </c>
      <c r="E658" s="84" t="s">
        <v>955</v>
      </c>
      <c r="F658" s="84" t="s">
        <v>1043</v>
      </c>
    </row>
    <row r="659" spans="1:6" hidden="1" x14ac:dyDescent="0.25">
      <c r="A659" s="85">
        <v>7149</v>
      </c>
      <c r="B659" s="85">
        <v>7149</v>
      </c>
      <c r="C659" s="84" t="s">
        <v>958</v>
      </c>
      <c r="D659" s="84" t="s">
        <v>2590</v>
      </c>
      <c r="E659" s="84" t="s">
        <v>955</v>
      </c>
      <c r="F659" s="84" t="s">
        <v>1043</v>
      </c>
    </row>
    <row r="660" spans="1:6" hidden="1" x14ac:dyDescent="0.25">
      <c r="A660" s="85">
        <v>7150</v>
      </c>
      <c r="B660" s="85">
        <v>7150</v>
      </c>
      <c r="C660" s="84" t="s">
        <v>958</v>
      </c>
      <c r="D660" s="84" t="s">
        <v>2591</v>
      </c>
      <c r="E660" s="84" t="s">
        <v>955</v>
      </c>
      <c r="F660" s="84" t="s">
        <v>1043</v>
      </c>
    </row>
    <row r="661" spans="1:6" hidden="1" x14ac:dyDescent="0.25">
      <c r="A661" s="85">
        <v>7151</v>
      </c>
      <c r="B661" s="85">
        <v>7151</v>
      </c>
      <c r="C661" s="84" t="s">
        <v>958</v>
      </c>
      <c r="D661" s="84" t="s">
        <v>2592</v>
      </c>
      <c r="E661" s="84" t="s">
        <v>955</v>
      </c>
      <c r="F661" s="84" t="s">
        <v>1043</v>
      </c>
    </row>
    <row r="662" spans="1:6" hidden="1" x14ac:dyDescent="0.25">
      <c r="A662" s="85">
        <v>7152</v>
      </c>
      <c r="B662" s="85">
        <v>7152</v>
      </c>
      <c r="C662" s="84" t="s">
        <v>958</v>
      </c>
      <c r="D662" s="84" t="s">
        <v>2593</v>
      </c>
      <c r="E662" s="84" t="s">
        <v>955</v>
      </c>
      <c r="F662" s="84" t="s">
        <v>1043</v>
      </c>
    </row>
    <row r="663" spans="1:6" hidden="1" x14ac:dyDescent="0.25">
      <c r="A663" s="85">
        <v>7154</v>
      </c>
      <c r="B663" s="85">
        <v>7154</v>
      </c>
      <c r="C663" s="84" t="s">
        <v>958</v>
      </c>
      <c r="D663" s="84" t="s">
        <v>2594</v>
      </c>
      <c r="E663" s="84" t="s">
        <v>955</v>
      </c>
      <c r="F663" s="84" t="s">
        <v>1043</v>
      </c>
    </row>
    <row r="664" spans="1:6" hidden="1" x14ac:dyDescent="0.25">
      <c r="A664" s="85">
        <v>7160</v>
      </c>
      <c r="B664" s="85">
        <v>7160</v>
      </c>
      <c r="C664" s="84" t="s">
        <v>958</v>
      </c>
      <c r="D664" s="84" t="s">
        <v>2595</v>
      </c>
      <c r="E664" s="84" t="s">
        <v>955</v>
      </c>
      <c r="F664" s="84" t="s">
        <v>1043</v>
      </c>
    </row>
    <row r="665" spans="1:6" hidden="1" x14ac:dyDescent="0.25">
      <c r="A665" s="85">
        <v>7162</v>
      </c>
      <c r="B665" s="85">
        <v>7162</v>
      </c>
      <c r="C665" s="84" t="s">
        <v>958</v>
      </c>
      <c r="D665" s="84" t="s">
        <v>1158</v>
      </c>
      <c r="E665" s="84" t="s">
        <v>955</v>
      </c>
      <c r="F665" s="84" t="s">
        <v>1043</v>
      </c>
    </row>
    <row r="666" spans="1:6" hidden="1" x14ac:dyDescent="0.25">
      <c r="A666" s="85">
        <v>7164</v>
      </c>
      <c r="B666" s="85">
        <v>7164</v>
      </c>
      <c r="C666" s="84" t="s">
        <v>958</v>
      </c>
      <c r="D666" s="84" t="s">
        <v>372</v>
      </c>
      <c r="E666" s="84" t="s">
        <v>955</v>
      </c>
      <c r="F666" s="84" t="s">
        <v>1043</v>
      </c>
    </row>
    <row r="667" spans="1:6" hidden="1" x14ac:dyDescent="0.25">
      <c r="A667" s="85">
        <v>7165</v>
      </c>
      <c r="B667" s="85">
        <v>7165</v>
      </c>
      <c r="C667" s="84" t="s">
        <v>958</v>
      </c>
      <c r="D667" s="84" t="s">
        <v>1159</v>
      </c>
      <c r="E667" s="84" t="s">
        <v>955</v>
      </c>
      <c r="F667" s="84" t="s">
        <v>1043</v>
      </c>
    </row>
    <row r="668" spans="1:6" hidden="1" x14ac:dyDescent="0.25">
      <c r="A668" s="85">
        <v>7166</v>
      </c>
      <c r="B668" s="85">
        <v>7166</v>
      </c>
      <c r="C668" s="84" t="s">
        <v>958</v>
      </c>
      <c r="D668" s="84" t="s">
        <v>1160</v>
      </c>
      <c r="E668" s="84" t="s">
        <v>955</v>
      </c>
      <c r="F668" s="84" t="s">
        <v>1043</v>
      </c>
    </row>
    <row r="669" spans="1:6" hidden="1" x14ac:dyDescent="0.25">
      <c r="A669" s="85">
        <v>7167</v>
      </c>
      <c r="B669" s="85">
        <v>7167</v>
      </c>
      <c r="C669" s="84" t="s">
        <v>958</v>
      </c>
      <c r="D669" s="84" t="s">
        <v>2596</v>
      </c>
      <c r="E669" s="84" t="s">
        <v>955</v>
      </c>
      <c r="F669" s="84" t="s">
        <v>1043</v>
      </c>
    </row>
    <row r="670" spans="1:6" hidden="1" x14ac:dyDescent="0.25">
      <c r="A670" s="85">
        <v>7168</v>
      </c>
      <c r="B670" s="85">
        <v>7168</v>
      </c>
      <c r="C670" s="84" t="s">
        <v>958</v>
      </c>
      <c r="D670" s="84" t="s">
        <v>1161</v>
      </c>
      <c r="E670" s="84" t="s">
        <v>955</v>
      </c>
      <c r="F670" s="84" t="s">
        <v>1043</v>
      </c>
    </row>
    <row r="671" spans="1:6" hidden="1" x14ac:dyDescent="0.25">
      <c r="A671" s="85">
        <v>7169</v>
      </c>
      <c r="B671" s="85">
        <v>7169</v>
      </c>
      <c r="C671" s="84" t="s">
        <v>958</v>
      </c>
      <c r="D671" s="84" t="s">
        <v>1162</v>
      </c>
      <c r="E671" s="84" t="s">
        <v>955</v>
      </c>
      <c r="F671" s="84" t="s">
        <v>1043</v>
      </c>
    </row>
    <row r="672" spans="1:6" hidden="1" x14ac:dyDescent="0.25">
      <c r="A672" s="85">
        <v>7170</v>
      </c>
      <c r="B672" s="85">
        <v>7170</v>
      </c>
      <c r="C672" s="84" t="s">
        <v>958</v>
      </c>
      <c r="D672" s="84" t="s">
        <v>1163</v>
      </c>
      <c r="E672" s="84" t="s">
        <v>955</v>
      </c>
      <c r="F672" s="84" t="s">
        <v>1043</v>
      </c>
    </row>
    <row r="673" spans="1:6" hidden="1" x14ac:dyDescent="0.25">
      <c r="A673" s="85">
        <v>7176</v>
      </c>
      <c r="B673" s="85">
        <v>7176</v>
      </c>
      <c r="C673" s="84" t="s">
        <v>958</v>
      </c>
      <c r="D673" s="84" t="s">
        <v>2597</v>
      </c>
      <c r="E673" s="84" t="s">
        <v>955</v>
      </c>
      <c r="F673" s="84" t="s">
        <v>1043</v>
      </c>
    </row>
    <row r="674" spans="1:6" hidden="1" x14ac:dyDescent="0.25">
      <c r="A674" s="85">
        <v>7177</v>
      </c>
      <c r="B674" s="85">
        <v>7177</v>
      </c>
      <c r="C674" s="84" t="s">
        <v>958</v>
      </c>
      <c r="D674" s="84" t="s">
        <v>1164</v>
      </c>
      <c r="E674" s="84" t="s">
        <v>955</v>
      </c>
      <c r="F674" s="84" t="s">
        <v>1043</v>
      </c>
    </row>
    <row r="675" spans="1:6" hidden="1" x14ac:dyDescent="0.25">
      <c r="A675" s="85">
        <v>7178</v>
      </c>
      <c r="B675" s="85">
        <v>7178</v>
      </c>
      <c r="C675" s="84" t="s">
        <v>958</v>
      </c>
      <c r="D675" s="84" t="s">
        <v>1165</v>
      </c>
      <c r="E675" s="84" t="s">
        <v>955</v>
      </c>
      <c r="F675" s="84" t="s">
        <v>1043</v>
      </c>
    </row>
    <row r="676" spans="1:6" hidden="1" x14ac:dyDescent="0.25">
      <c r="A676" s="85">
        <v>7182</v>
      </c>
      <c r="B676" s="85">
        <v>7182</v>
      </c>
      <c r="C676" s="84" t="s">
        <v>958</v>
      </c>
      <c r="D676" s="84" t="s">
        <v>2598</v>
      </c>
      <c r="E676" s="84" t="s">
        <v>955</v>
      </c>
      <c r="F676" s="84" t="s">
        <v>1043</v>
      </c>
    </row>
    <row r="677" spans="1:6" hidden="1" x14ac:dyDescent="0.25">
      <c r="A677" s="85">
        <v>7183</v>
      </c>
      <c r="B677" s="85">
        <v>7183</v>
      </c>
      <c r="C677" s="84" t="s">
        <v>958</v>
      </c>
      <c r="D677" s="84" t="s">
        <v>1166</v>
      </c>
      <c r="E677" s="84" t="s">
        <v>955</v>
      </c>
      <c r="F677" s="84" t="s">
        <v>1043</v>
      </c>
    </row>
    <row r="678" spans="1:6" hidden="1" x14ac:dyDescent="0.25">
      <c r="A678" s="85">
        <v>7185</v>
      </c>
      <c r="B678" s="85">
        <v>7185</v>
      </c>
      <c r="C678" s="84" t="s">
        <v>958</v>
      </c>
      <c r="D678" s="84" t="s">
        <v>340</v>
      </c>
      <c r="E678" s="84" t="s">
        <v>955</v>
      </c>
      <c r="F678" s="84" t="s">
        <v>1043</v>
      </c>
    </row>
    <row r="679" spans="1:6" hidden="1" x14ac:dyDescent="0.25">
      <c r="A679" s="85">
        <v>7187</v>
      </c>
      <c r="B679" s="85">
        <v>7187</v>
      </c>
      <c r="C679" s="84" t="s">
        <v>958</v>
      </c>
      <c r="D679" s="84" t="s">
        <v>1166</v>
      </c>
      <c r="E679" s="84" t="s">
        <v>955</v>
      </c>
      <c r="F679" s="84" t="s">
        <v>1043</v>
      </c>
    </row>
    <row r="680" spans="1:6" hidden="1" x14ac:dyDescent="0.25">
      <c r="A680" s="85">
        <v>7188</v>
      </c>
      <c r="B680" s="85">
        <v>7188</v>
      </c>
      <c r="C680" s="84" t="s">
        <v>958</v>
      </c>
      <c r="D680" s="84" t="s">
        <v>2599</v>
      </c>
      <c r="E680" s="84" t="s">
        <v>955</v>
      </c>
      <c r="F680" s="84" t="s">
        <v>1043</v>
      </c>
    </row>
    <row r="681" spans="1:6" hidden="1" x14ac:dyDescent="0.25">
      <c r="A681" s="85">
        <v>7190</v>
      </c>
      <c r="B681" s="85">
        <v>7190</v>
      </c>
      <c r="C681" s="84" t="s">
        <v>958</v>
      </c>
      <c r="D681" s="84" t="s">
        <v>1167</v>
      </c>
      <c r="E681" s="84" t="s">
        <v>955</v>
      </c>
      <c r="F681" s="84" t="s">
        <v>1043</v>
      </c>
    </row>
    <row r="682" spans="1:6" hidden="1" x14ac:dyDescent="0.25">
      <c r="A682" s="85">
        <v>7198</v>
      </c>
      <c r="B682" s="85">
        <v>7198</v>
      </c>
      <c r="C682" s="84" t="s">
        <v>958</v>
      </c>
      <c r="D682" s="84" t="s">
        <v>1168</v>
      </c>
      <c r="E682" s="84" t="s">
        <v>955</v>
      </c>
      <c r="F682" s="84" t="s">
        <v>1043</v>
      </c>
    </row>
    <row r="683" spans="1:6" hidden="1" x14ac:dyDescent="0.25">
      <c r="A683" s="85">
        <v>7199</v>
      </c>
      <c r="B683" s="85">
        <v>7199</v>
      </c>
      <c r="C683" s="84" t="s">
        <v>958</v>
      </c>
      <c r="D683" s="84" t="s">
        <v>2600</v>
      </c>
      <c r="E683" s="84" t="s">
        <v>955</v>
      </c>
      <c r="F683" s="84" t="s">
        <v>1043</v>
      </c>
    </row>
    <row r="684" spans="1:6" hidden="1" x14ac:dyDescent="0.25">
      <c r="A684" s="85">
        <v>7200</v>
      </c>
      <c r="B684" s="85">
        <v>7200</v>
      </c>
      <c r="C684" s="84" t="s">
        <v>958</v>
      </c>
      <c r="D684" s="84" t="s">
        <v>1169</v>
      </c>
      <c r="E684" s="84" t="s">
        <v>955</v>
      </c>
      <c r="F684" s="84" t="s">
        <v>1043</v>
      </c>
    </row>
    <row r="685" spans="1:6" hidden="1" x14ac:dyDescent="0.25">
      <c r="A685" s="85">
        <v>7202</v>
      </c>
      <c r="B685" s="85">
        <v>7202</v>
      </c>
      <c r="C685" s="84" t="s">
        <v>958</v>
      </c>
      <c r="D685" s="84" t="s">
        <v>1170</v>
      </c>
      <c r="E685" s="84" t="s">
        <v>955</v>
      </c>
      <c r="F685" s="84" t="s">
        <v>1043</v>
      </c>
    </row>
    <row r="686" spans="1:6" hidden="1" x14ac:dyDescent="0.25">
      <c r="A686" s="85">
        <v>7203</v>
      </c>
      <c r="B686" s="85">
        <v>7203</v>
      </c>
      <c r="C686" s="84" t="s">
        <v>958</v>
      </c>
      <c r="D686" s="84" t="s">
        <v>1171</v>
      </c>
      <c r="E686" s="84" t="s">
        <v>955</v>
      </c>
      <c r="F686" s="84" t="s">
        <v>1043</v>
      </c>
    </row>
    <row r="687" spans="1:6" hidden="1" x14ac:dyDescent="0.25">
      <c r="A687" s="85">
        <v>7204</v>
      </c>
      <c r="B687" s="85">
        <v>7204</v>
      </c>
      <c r="C687" s="84" t="s">
        <v>958</v>
      </c>
      <c r="D687" s="84" t="s">
        <v>2601</v>
      </c>
      <c r="E687" s="84" t="s">
        <v>955</v>
      </c>
      <c r="F687" s="84" t="s">
        <v>1043</v>
      </c>
    </row>
    <row r="688" spans="1:6" hidden="1" x14ac:dyDescent="0.25">
      <c r="A688" s="85">
        <v>7205</v>
      </c>
      <c r="B688" s="85">
        <v>7205</v>
      </c>
      <c r="C688" s="84" t="s">
        <v>958</v>
      </c>
      <c r="D688" s="84" t="s">
        <v>2602</v>
      </c>
      <c r="E688" s="84" t="s">
        <v>955</v>
      </c>
      <c r="F688" s="84" t="s">
        <v>1043</v>
      </c>
    </row>
    <row r="689" spans="1:6" hidden="1" x14ac:dyDescent="0.25">
      <c r="A689" s="85">
        <v>7206</v>
      </c>
      <c r="B689" s="85">
        <v>7206</v>
      </c>
      <c r="C689" s="84" t="s">
        <v>958</v>
      </c>
      <c r="D689" s="84" t="s">
        <v>1172</v>
      </c>
      <c r="E689" s="84" t="s">
        <v>955</v>
      </c>
      <c r="F689" s="84" t="s">
        <v>1043</v>
      </c>
    </row>
    <row r="690" spans="1:6" hidden="1" x14ac:dyDescent="0.25">
      <c r="A690" s="85">
        <v>7207</v>
      </c>
      <c r="B690" s="85">
        <v>7207</v>
      </c>
      <c r="C690" s="84" t="s">
        <v>958</v>
      </c>
      <c r="D690" s="84" t="s">
        <v>373</v>
      </c>
      <c r="E690" s="84" t="s">
        <v>955</v>
      </c>
      <c r="F690" s="84" t="s">
        <v>1043</v>
      </c>
    </row>
    <row r="691" spans="1:6" hidden="1" x14ac:dyDescent="0.25">
      <c r="A691" s="85">
        <v>7208</v>
      </c>
      <c r="B691" s="85">
        <v>7208</v>
      </c>
      <c r="C691" s="84" t="s">
        <v>958</v>
      </c>
      <c r="D691" s="84" t="s">
        <v>1173</v>
      </c>
      <c r="E691" s="84" t="s">
        <v>955</v>
      </c>
      <c r="F691" s="84" t="s">
        <v>1043</v>
      </c>
    </row>
    <row r="692" spans="1:6" hidden="1" x14ac:dyDescent="0.25">
      <c r="A692" s="85">
        <v>7212</v>
      </c>
      <c r="B692" s="85">
        <v>7212</v>
      </c>
      <c r="C692" s="84" t="s">
        <v>958</v>
      </c>
      <c r="D692" s="84" t="s">
        <v>375</v>
      </c>
      <c r="E692" s="84" t="s">
        <v>955</v>
      </c>
      <c r="F692" s="84" t="s">
        <v>1043</v>
      </c>
    </row>
    <row r="693" spans="1:6" hidden="1" x14ac:dyDescent="0.25">
      <c r="A693" s="85">
        <v>7213</v>
      </c>
      <c r="B693" s="85">
        <v>7213</v>
      </c>
      <c r="C693" s="84" t="s">
        <v>958</v>
      </c>
      <c r="D693" s="84" t="s">
        <v>1174</v>
      </c>
      <c r="E693" s="84" t="s">
        <v>955</v>
      </c>
      <c r="F693" s="84" t="s">
        <v>1043</v>
      </c>
    </row>
    <row r="694" spans="1:6" hidden="1" x14ac:dyDescent="0.25">
      <c r="A694" s="85">
        <v>7216</v>
      </c>
      <c r="B694" s="85">
        <v>7216</v>
      </c>
      <c r="C694" s="84" t="s">
        <v>958</v>
      </c>
      <c r="D694" s="84" t="s">
        <v>376</v>
      </c>
      <c r="E694" s="84" t="s">
        <v>955</v>
      </c>
      <c r="F694" s="84" t="s">
        <v>1043</v>
      </c>
    </row>
    <row r="695" spans="1:6" hidden="1" x14ac:dyDescent="0.25">
      <c r="A695" s="85">
        <v>7217</v>
      </c>
      <c r="B695" s="85">
        <v>7217</v>
      </c>
      <c r="C695" s="84" t="s">
        <v>958</v>
      </c>
      <c r="D695" s="84" t="s">
        <v>1175</v>
      </c>
      <c r="E695" s="84" t="s">
        <v>955</v>
      </c>
      <c r="F695" s="84" t="s">
        <v>1043</v>
      </c>
    </row>
    <row r="696" spans="1:6" hidden="1" x14ac:dyDescent="0.25">
      <c r="A696" s="85">
        <v>7219</v>
      </c>
      <c r="B696" s="85">
        <v>7219</v>
      </c>
      <c r="C696" s="84" t="s">
        <v>958</v>
      </c>
      <c r="D696" s="84" t="s">
        <v>2603</v>
      </c>
      <c r="E696" s="84" t="s">
        <v>955</v>
      </c>
      <c r="F696" s="84" t="s">
        <v>1043</v>
      </c>
    </row>
    <row r="697" spans="1:6" hidden="1" x14ac:dyDescent="0.25">
      <c r="A697" s="85">
        <v>7220</v>
      </c>
      <c r="B697" s="85">
        <v>7220</v>
      </c>
      <c r="C697" s="84" t="s">
        <v>958</v>
      </c>
      <c r="D697" s="84" t="s">
        <v>2604</v>
      </c>
      <c r="E697" s="84" t="s">
        <v>955</v>
      </c>
      <c r="F697" s="84" t="s">
        <v>1043</v>
      </c>
    </row>
    <row r="698" spans="1:6" hidden="1" x14ac:dyDescent="0.25">
      <c r="A698" s="85">
        <v>7221</v>
      </c>
      <c r="B698" s="85">
        <v>7221</v>
      </c>
      <c r="C698" s="84" t="s">
        <v>958</v>
      </c>
      <c r="D698" s="84" t="s">
        <v>1176</v>
      </c>
      <c r="E698" s="84" t="s">
        <v>955</v>
      </c>
      <c r="F698" s="84" t="s">
        <v>1043</v>
      </c>
    </row>
    <row r="699" spans="1:6" hidden="1" x14ac:dyDescent="0.25">
      <c r="A699" s="85">
        <v>7222</v>
      </c>
      <c r="B699" s="85">
        <v>7222</v>
      </c>
      <c r="C699" s="84" t="s">
        <v>958</v>
      </c>
      <c r="D699" s="84" t="s">
        <v>1276</v>
      </c>
      <c r="E699" s="84" t="s">
        <v>955</v>
      </c>
      <c r="F699" s="84" t="s">
        <v>1043</v>
      </c>
    </row>
    <row r="700" spans="1:6" hidden="1" x14ac:dyDescent="0.25">
      <c r="A700" s="85">
        <v>7223</v>
      </c>
      <c r="B700" s="85">
        <v>7223</v>
      </c>
      <c r="C700" s="84" t="s">
        <v>958</v>
      </c>
      <c r="D700" s="84" t="s">
        <v>1177</v>
      </c>
      <c r="E700" s="84" t="s">
        <v>955</v>
      </c>
      <c r="F700" s="84" t="s">
        <v>1043</v>
      </c>
    </row>
    <row r="701" spans="1:6" hidden="1" x14ac:dyDescent="0.25">
      <c r="A701" s="85">
        <v>7224</v>
      </c>
      <c r="B701" s="85">
        <v>7224</v>
      </c>
      <c r="C701" s="84" t="s">
        <v>958</v>
      </c>
      <c r="D701" s="84" t="s">
        <v>377</v>
      </c>
      <c r="E701" s="84" t="s">
        <v>955</v>
      </c>
      <c r="F701" s="84" t="s">
        <v>1043</v>
      </c>
    </row>
    <row r="702" spans="1:6" hidden="1" x14ac:dyDescent="0.25">
      <c r="A702" s="85">
        <v>7225</v>
      </c>
      <c r="B702" s="85">
        <v>7225</v>
      </c>
      <c r="C702" s="84" t="s">
        <v>958</v>
      </c>
      <c r="D702" s="84" t="s">
        <v>1178</v>
      </c>
      <c r="E702" s="84" t="s">
        <v>955</v>
      </c>
      <c r="F702" s="84" t="s">
        <v>1043</v>
      </c>
    </row>
    <row r="703" spans="1:6" hidden="1" x14ac:dyDescent="0.25">
      <c r="A703" s="85">
        <v>7226</v>
      </c>
      <c r="B703" s="85">
        <v>7226</v>
      </c>
      <c r="C703" s="84" t="s">
        <v>958</v>
      </c>
      <c r="D703" s="84" t="s">
        <v>2605</v>
      </c>
      <c r="E703" s="84" t="s">
        <v>955</v>
      </c>
      <c r="F703" s="84" t="s">
        <v>1043</v>
      </c>
    </row>
    <row r="704" spans="1:6" hidden="1" x14ac:dyDescent="0.25">
      <c r="A704" s="85">
        <v>7227</v>
      </c>
      <c r="B704" s="85">
        <v>7227</v>
      </c>
      <c r="C704" s="84" t="s">
        <v>958</v>
      </c>
      <c r="D704" s="84" t="s">
        <v>2606</v>
      </c>
      <c r="E704" s="84" t="s">
        <v>955</v>
      </c>
      <c r="F704" s="84" t="s">
        <v>1043</v>
      </c>
    </row>
    <row r="705" spans="1:6" hidden="1" x14ac:dyDescent="0.25">
      <c r="A705" s="85">
        <v>7228</v>
      </c>
      <c r="B705" s="85">
        <v>7228</v>
      </c>
      <c r="C705" s="84" t="s">
        <v>958</v>
      </c>
      <c r="D705" s="84" t="s">
        <v>2607</v>
      </c>
      <c r="E705" s="84" t="s">
        <v>955</v>
      </c>
      <c r="F705" s="84" t="s">
        <v>1043</v>
      </c>
    </row>
    <row r="706" spans="1:6" hidden="1" x14ac:dyDescent="0.25">
      <c r="A706" s="85">
        <v>7229</v>
      </c>
      <c r="B706" s="85">
        <v>7229</v>
      </c>
      <c r="C706" s="84" t="s">
        <v>958</v>
      </c>
      <c r="D706" s="84" t="s">
        <v>2608</v>
      </c>
      <c r="E706" s="84" t="s">
        <v>955</v>
      </c>
      <c r="F706" s="84" t="s">
        <v>1043</v>
      </c>
    </row>
    <row r="707" spans="1:6" hidden="1" x14ac:dyDescent="0.25">
      <c r="A707" s="85">
        <v>7235</v>
      </c>
      <c r="B707" s="85">
        <v>7235</v>
      </c>
      <c r="C707" s="84" t="s">
        <v>958</v>
      </c>
      <c r="D707" s="84" t="s">
        <v>1179</v>
      </c>
      <c r="E707" s="84" t="s">
        <v>955</v>
      </c>
      <c r="F707" s="84" t="s">
        <v>1043</v>
      </c>
    </row>
    <row r="708" spans="1:6" hidden="1" x14ac:dyDescent="0.25">
      <c r="A708" s="85">
        <v>7237</v>
      </c>
      <c r="B708" s="85">
        <v>7237</v>
      </c>
      <c r="C708" s="84" t="s">
        <v>958</v>
      </c>
      <c r="D708" s="84" t="s">
        <v>1231</v>
      </c>
      <c r="E708" s="84" t="s">
        <v>955</v>
      </c>
      <c r="F708" s="84" t="s">
        <v>1043</v>
      </c>
    </row>
    <row r="709" spans="1:6" hidden="1" x14ac:dyDescent="0.25">
      <c r="A709" s="85">
        <v>7239</v>
      </c>
      <c r="B709" s="85">
        <v>7239</v>
      </c>
      <c r="C709" s="84" t="s">
        <v>958</v>
      </c>
      <c r="D709" s="84" t="s">
        <v>378</v>
      </c>
      <c r="E709" s="84" t="s">
        <v>955</v>
      </c>
      <c r="F709" s="84" t="s">
        <v>1043</v>
      </c>
    </row>
    <row r="710" spans="1:6" hidden="1" x14ac:dyDescent="0.25">
      <c r="A710" s="85">
        <v>7241</v>
      </c>
      <c r="B710" s="85">
        <v>7241</v>
      </c>
      <c r="C710" s="84" t="s">
        <v>958</v>
      </c>
      <c r="D710" s="84" t="s">
        <v>2609</v>
      </c>
      <c r="E710" s="84" t="s">
        <v>955</v>
      </c>
      <c r="F710" s="84" t="s">
        <v>1043</v>
      </c>
    </row>
    <row r="711" spans="1:6" hidden="1" x14ac:dyDescent="0.25">
      <c r="A711" s="85">
        <v>7242</v>
      </c>
      <c r="B711" s="85">
        <v>7242</v>
      </c>
      <c r="C711" s="84" t="s">
        <v>958</v>
      </c>
      <c r="D711" s="84" t="s">
        <v>2610</v>
      </c>
      <c r="E711" s="84" t="s">
        <v>955</v>
      </c>
      <c r="F711" s="84" t="s">
        <v>1043</v>
      </c>
    </row>
    <row r="712" spans="1:6" hidden="1" x14ac:dyDescent="0.25">
      <c r="A712" s="85">
        <v>7243</v>
      </c>
      <c r="B712" s="85">
        <v>7243</v>
      </c>
      <c r="C712" s="84" t="s">
        <v>958</v>
      </c>
      <c r="D712" s="84" t="s">
        <v>2611</v>
      </c>
      <c r="E712" s="84" t="s">
        <v>955</v>
      </c>
      <c r="F712" s="84" t="s">
        <v>1043</v>
      </c>
    </row>
    <row r="713" spans="1:6" hidden="1" x14ac:dyDescent="0.25">
      <c r="A713" s="85">
        <v>7244</v>
      </c>
      <c r="B713" s="85">
        <v>7244</v>
      </c>
      <c r="C713" s="84" t="s">
        <v>958</v>
      </c>
      <c r="D713" s="84" t="s">
        <v>2612</v>
      </c>
      <c r="E713" s="84" t="s">
        <v>955</v>
      </c>
      <c r="F713" s="84" t="s">
        <v>1043</v>
      </c>
    </row>
    <row r="714" spans="1:6" hidden="1" x14ac:dyDescent="0.25">
      <c r="A714" s="85">
        <v>7246</v>
      </c>
      <c r="B714" s="85">
        <v>7246</v>
      </c>
      <c r="C714" s="84" t="s">
        <v>958</v>
      </c>
      <c r="D714" s="84" t="s">
        <v>2613</v>
      </c>
      <c r="E714" s="84" t="s">
        <v>955</v>
      </c>
      <c r="F714" s="84" t="s">
        <v>1043</v>
      </c>
    </row>
    <row r="715" spans="1:6" hidden="1" x14ac:dyDescent="0.25">
      <c r="A715" s="85">
        <v>7248</v>
      </c>
      <c r="B715" s="85">
        <v>7248</v>
      </c>
      <c r="C715" s="84" t="s">
        <v>958</v>
      </c>
      <c r="D715" s="84" t="s">
        <v>1180</v>
      </c>
      <c r="E715" s="84" t="s">
        <v>955</v>
      </c>
      <c r="F715" s="84" t="s">
        <v>1043</v>
      </c>
    </row>
    <row r="716" spans="1:6" hidden="1" x14ac:dyDescent="0.25">
      <c r="A716" s="85">
        <v>7251</v>
      </c>
      <c r="B716" s="85">
        <v>7251</v>
      </c>
      <c r="C716" s="84" t="s">
        <v>958</v>
      </c>
      <c r="D716" s="84" t="s">
        <v>1181</v>
      </c>
      <c r="E716" s="84" t="s">
        <v>955</v>
      </c>
      <c r="F716" s="84" t="s">
        <v>1043</v>
      </c>
    </row>
    <row r="717" spans="1:6" hidden="1" x14ac:dyDescent="0.25">
      <c r="A717" s="85">
        <v>7252</v>
      </c>
      <c r="B717" s="85">
        <v>7252</v>
      </c>
      <c r="C717" s="84" t="s">
        <v>958</v>
      </c>
      <c r="D717" s="84" t="s">
        <v>2614</v>
      </c>
      <c r="E717" s="84" t="s">
        <v>955</v>
      </c>
      <c r="F717" s="84" t="s">
        <v>1043</v>
      </c>
    </row>
    <row r="718" spans="1:6" hidden="1" x14ac:dyDescent="0.25">
      <c r="A718" s="85">
        <v>7254</v>
      </c>
      <c r="B718" s="85">
        <v>7254</v>
      </c>
      <c r="C718" s="84" t="s">
        <v>958</v>
      </c>
      <c r="D718" s="84" t="s">
        <v>379</v>
      </c>
      <c r="E718" s="84" t="s">
        <v>955</v>
      </c>
      <c r="F718" s="84" t="s">
        <v>1043</v>
      </c>
    </row>
    <row r="719" spans="1:6" hidden="1" x14ac:dyDescent="0.25">
      <c r="A719" s="85">
        <v>7255</v>
      </c>
      <c r="B719" s="85">
        <v>7255</v>
      </c>
      <c r="C719" s="84" t="s">
        <v>958</v>
      </c>
      <c r="D719" s="84" t="s">
        <v>2615</v>
      </c>
      <c r="E719" s="84" t="s">
        <v>955</v>
      </c>
      <c r="F719" s="84" t="s">
        <v>1043</v>
      </c>
    </row>
    <row r="720" spans="1:6" hidden="1" x14ac:dyDescent="0.25">
      <c r="A720" s="85">
        <v>7256</v>
      </c>
      <c r="B720" s="85">
        <v>7256</v>
      </c>
      <c r="C720" s="84" t="s">
        <v>958</v>
      </c>
      <c r="D720" s="84" t="s">
        <v>2616</v>
      </c>
      <c r="E720" s="84" t="s">
        <v>955</v>
      </c>
      <c r="F720" s="84" t="s">
        <v>1043</v>
      </c>
    </row>
    <row r="721" spans="1:6" hidden="1" x14ac:dyDescent="0.25">
      <c r="A721" s="85">
        <v>7267</v>
      </c>
      <c r="B721" s="85">
        <v>7267</v>
      </c>
      <c r="C721" s="84" t="s">
        <v>958</v>
      </c>
      <c r="D721" s="84" t="s">
        <v>1182</v>
      </c>
      <c r="E721" s="84" t="s">
        <v>955</v>
      </c>
      <c r="F721" s="84" t="s">
        <v>1043</v>
      </c>
    </row>
    <row r="722" spans="1:6" hidden="1" x14ac:dyDescent="0.25">
      <c r="A722" s="85">
        <v>7268</v>
      </c>
      <c r="B722" s="85">
        <v>7268</v>
      </c>
      <c r="C722" s="84" t="s">
        <v>958</v>
      </c>
      <c r="D722" s="84" t="s">
        <v>734</v>
      </c>
      <c r="E722" s="84" t="s">
        <v>955</v>
      </c>
      <c r="F722" s="84" t="s">
        <v>1043</v>
      </c>
    </row>
    <row r="723" spans="1:6" hidden="1" x14ac:dyDescent="0.25">
      <c r="A723" s="85">
        <v>7270</v>
      </c>
      <c r="B723" s="85">
        <v>7270</v>
      </c>
      <c r="C723" s="84" t="s">
        <v>958</v>
      </c>
      <c r="D723" s="84" t="s">
        <v>380</v>
      </c>
      <c r="E723" s="84" t="s">
        <v>955</v>
      </c>
      <c r="F723" s="84" t="s">
        <v>1043</v>
      </c>
    </row>
    <row r="724" spans="1:6" hidden="1" x14ac:dyDescent="0.25">
      <c r="A724" s="85">
        <v>7271</v>
      </c>
      <c r="B724" s="85">
        <v>7271</v>
      </c>
      <c r="C724" s="84" t="s">
        <v>958</v>
      </c>
      <c r="D724" s="84" t="s">
        <v>2617</v>
      </c>
      <c r="E724" s="84" t="s">
        <v>955</v>
      </c>
      <c r="F724" s="84" t="s">
        <v>1043</v>
      </c>
    </row>
    <row r="725" spans="1:6" hidden="1" x14ac:dyDescent="0.25">
      <c r="A725" s="85">
        <v>7273</v>
      </c>
      <c r="B725" s="85">
        <v>7273</v>
      </c>
      <c r="C725" s="84" t="s">
        <v>958</v>
      </c>
      <c r="D725" s="84" t="s">
        <v>381</v>
      </c>
      <c r="E725" s="84" t="s">
        <v>955</v>
      </c>
      <c r="F725" s="84" t="s">
        <v>1043</v>
      </c>
    </row>
    <row r="726" spans="1:6" hidden="1" x14ac:dyDescent="0.25">
      <c r="A726" s="85">
        <v>7274</v>
      </c>
      <c r="B726" s="85">
        <v>7274</v>
      </c>
      <c r="C726" s="84" t="s">
        <v>958</v>
      </c>
      <c r="D726" s="84" t="s">
        <v>2618</v>
      </c>
      <c r="E726" s="84" t="s">
        <v>955</v>
      </c>
      <c r="F726" s="84" t="s">
        <v>1043</v>
      </c>
    </row>
    <row r="727" spans="1:6" hidden="1" x14ac:dyDescent="0.25">
      <c r="A727" s="85">
        <v>7275</v>
      </c>
      <c r="B727" s="85">
        <v>7275</v>
      </c>
      <c r="C727" s="84" t="s">
        <v>958</v>
      </c>
      <c r="D727" s="84" t="s">
        <v>383</v>
      </c>
      <c r="E727" s="84" t="s">
        <v>955</v>
      </c>
      <c r="F727" s="84" t="s">
        <v>1043</v>
      </c>
    </row>
    <row r="728" spans="1:6" hidden="1" x14ac:dyDescent="0.25">
      <c r="A728" s="85">
        <v>7278</v>
      </c>
      <c r="B728" s="85">
        <v>7278</v>
      </c>
      <c r="C728" s="84" t="s">
        <v>958</v>
      </c>
      <c r="D728" s="84" t="s">
        <v>2619</v>
      </c>
      <c r="E728" s="84" t="s">
        <v>955</v>
      </c>
      <c r="F728" s="84" t="s">
        <v>1043</v>
      </c>
    </row>
    <row r="729" spans="1:6" hidden="1" x14ac:dyDescent="0.25">
      <c r="A729" s="85">
        <v>7280</v>
      </c>
      <c r="B729" s="85">
        <v>7280</v>
      </c>
      <c r="C729" s="84" t="s">
        <v>958</v>
      </c>
      <c r="D729" s="84" t="s">
        <v>2620</v>
      </c>
      <c r="E729" s="84" t="s">
        <v>955</v>
      </c>
      <c r="F729" s="84" t="s">
        <v>1043</v>
      </c>
    </row>
    <row r="730" spans="1:6" hidden="1" x14ac:dyDescent="0.25">
      <c r="A730" s="85">
        <v>7281</v>
      </c>
      <c r="B730" s="85">
        <v>7281</v>
      </c>
      <c r="C730" s="84" t="s">
        <v>958</v>
      </c>
      <c r="D730" s="84" t="s">
        <v>1183</v>
      </c>
      <c r="E730" s="84" t="s">
        <v>955</v>
      </c>
      <c r="F730" s="84" t="s">
        <v>1043</v>
      </c>
    </row>
    <row r="731" spans="1:6" hidden="1" x14ac:dyDescent="0.25">
      <c r="A731" s="85">
        <v>7282</v>
      </c>
      <c r="B731" s="85">
        <v>7282</v>
      </c>
      <c r="C731" s="84" t="s">
        <v>958</v>
      </c>
      <c r="D731" s="84" t="s">
        <v>2621</v>
      </c>
      <c r="E731" s="84" t="s">
        <v>955</v>
      </c>
      <c r="F731" s="84" t="s">
        <v>1043</v>
      </c>
    </row>
    <row r="732" spans="1:6" hidden="1" x14ac:dyDescent="0.25">
      <c r="A732" s="85">
        <v>7284</v>
      </c>
      <c r="B732" s="85">
        <v>7284</v>
      </c>
      <c r="C732" s="84" t="s">
        <v>958</v>
      </c>
      <c r="D732" s="84" t="s">
        <v>1184</v>
      </c>
      <c r="E732" s="84" t="s">
        <v>955</v>
      </c>
      <c r="F732" s="84" t="s">
        <v>1043</v>
      </c>
    </row>
    <row r="733" spans="1:6" hidden="1" x14ac:dyDescent="0.25">
      <c r="A733" s="85">
        <v>7286</v>
      </c>
      <c r="B733" s="85">
        <v>7286</v>
      </c>
      <c r="C733" s="84" t="s">
        <v>958</v>
      </c>
      <c r="D733" s="84" t="s">
        <v>385</v>
      </c>
      <c r="E733" s="84" t="s">
        <v>955</v>
      </c>
      <c r="F733" s="84" t="s">
        <v>1043</v>
      </c>
    </row>
    <row r="734" spans="1:6" hidden="1" x14ac:dyDescent="0.25">
      <c r="A734" s="85">
        <v>7287</v>
      </c>
      <c r="B734" s="85">
        <v>7287</v>
      </c>
      <c r="C734" s="84" t="s">
        <v>958</v>
      </c>
      <c r="D734" s="84" t="s">
        <v>2622</v>
      </c>
      <c r="E734" s="84" t="s">
        <v>955</v>
      </c>
      <c r="F734" s="84" t="s">
        <v>1043</v>
      </c>
    </row>
    <row r="735" spans="1:6" hidden="1" x14ac:dyDescent="0.25">
      <c r="A735" s="85">
        <v>7290</v>
      </c>
      <c r="B735" s="85">
        <v>7290</v>
      </c>
      <c r="C735" s="84" t="s">
        <v>958</v>
      </c>
      <c r="D735" s="84" t="s">
        <v>386</v>
      </c>
      <c r="E735" s="84" t="s">
        <v>955</v>
      </c>
      <c r="F735" s="84" t="s">
        <v>1043</v>
      </c>
    </row>
    <row r="736" spans="1:6" hidden="1" x14ac:dyDescent="0.25">
      <c r="A736" s="85">
        <v>7291</v>
      </c>
      <c r="B736" s="85">
        <v>7291</v>
      </c>
      <c r="C736" s="84" t="s">
        <v>958</v>
      </c>
      <c r="D736" s="84" t="s">
        <v>2623</v>
      </c>
      <c r="E736" s="84" t="s">
        <v>955</v>
      </c>
      <c r="F736" s="84" t="s">
        <v>1043</v>
      </c>
    </row>
    <row r="737" spans="1:6" hidden="1" x14ac:dyDescent="0.25">
      <c r="A737" s="85">
        <v>7292</v>
      </c>
      <c r="B737" s="85">
        <v>7292</v>
      </c>
      <c r="C737" s="84" t="s">
        <v>958</v>
      </c>
      <c r="D737" s="84" t="s">
        <v>2624</v>
      </c>
      <c r="E737" s="84" t="s">
        <v>955</v>
      </c>
      <c r="F737" s="84" t="s">
        <v>1043</v>
      </c>
    </row>
    <row r="738" spans="1:6" hidden="1" x14ac:dyDescent="0.25">
      <c r="A738" s="85">
        <v>7293</v>
      </c>
      <c r="B738" s="85">
        <v>7293</v>
      </c>
      <c r="C738" s="84" t="s">
        <v>958</v>
      </c>
      <c r="D738" s="84" t="s">
        <v>387</v>
      </c>
      <c r="E738" s="84" t="s">
        <v>955</v>
      </c>
      <c r="F738" s="84" t="s">
        <v>1043</v>
      </c>
    </row>
    <row r="739" spans="1:6" hidden="1" x14ac:dyDescent="0.25">
      <c r="A739" s="85">
        <v>7295</v>
      </c>
      <c r="B739" s="85">
        <v>7295</v>
      </c>
      <c r="C739" s="84" t="s">
        <v>958</v>
      </c>
      <c r="D739" s="84" t="s">
        <v>2625</v>
      </c>
      <c r="E739" s="84" t="s">
        <v>955</v>
      </c>
      <c r="F739" s="84" t="s">
        <v>1043</v>
      </c>
    </row>
    <row r="740" spans="1:6" hidden="1" x14ac:dyDescent="0.25">
      <c r="A740" s="85">
        <v>7299</v>
      </c>
      <c r="B740" s="85">
        <v>7299</v>
      </c>
      <c r="C740" s="84" t="s">
        <v>958</v>
      </c>
      <c r="D740" s="84" t="s">
        <v>2626</v>
      </c>
      <c r="E740" s="84" t="s">
        <v>955</v>
      </c>
      <c r="F740" s="84" t="s">
        <v>1043</v>
      </c>
    </row>
    <row r="741" spans="1:6" hidden="1" x14ac:dyDescent="0.25">
      <c r="A741" s="85">
        <v>7300</v>
      </c>
      <c r="B741" s="85">
        <v>7300</v>
      </c>
      <c r="C741" s="84" t="s">
        <v>958</v>
      </c>
      <c r="D741" s="84" t="s">
        <v>2627</v>
      </c>
      <c r="E741" s="84" t="s">
        <v>955</v>
      </c>
      <c r="F741" s="84" t="s">
        <v>1043</v>
      </c>
    </row>
    <row r="742" spans="1:6" hidden="1" x14ac:dyDescent="0.25">
      <c r="A742" s="85">
        <v>7301</v>
      </c>
      <c r="B742" s="85">
        <v>7301</v>
      </c>
      <c r="C742" s="84" t="s">
        <v>958</v>
      </c>
      <c r="D742" s="84" t="s">
        <v>340</v>
      </c>
      <c r="E742" s="84" t="s">
        <v>955</v>
      </c>
      <c r="F742" s="84" t="s">
        <v>1043</v>
      </c>
    </row>
    <row r="743" spans="1:6" hidden="1" x14ac:dyDescent="0.25">
      <c r="A743" s="85">
        <v>7302</v>
      </c>
      <c r="B743" s="85">
        <v>7302</v>
      </c>
      <c r="C743" s="84" t="s">
        <v>958</v>
      </c>
      <c r="D743" s="84" t="s">
        <v>2628</v>
      </c>
      <c r="E743" s="84" t="s">
        <v>955</v>
      </c>
      <c r="F743" s="84" t="s">
        <v>1043</v>
      </c>
    </row>
    <row r="744" spans="1:6" hidden="1" x14ac:dyDescent="0.25">
      <c r="A744" s="85">
        <v>7303</v>
      </c>
      <c r="B744" s="85">
        <v>7303</v>
      </c>
      <c r="C744" s="84" t="s">
        <v>958</v>
      </c>
      <c r="D744" s="84" t="s">
        <v>1185</v>
      </c>
      <c r="E744" s="84" t="s">
        <v>955</v>
      </c>
      <c r="F744" s="84" t="s">
        <v>1043</v>
      </c>
    </row>
    <row r="745" spans="1:6" hidden="1" x14ac:dyDescent="0.25">
      <c r="A745" s="85">
        <v>7306</v>
      </c>
      <c r="B745" s="85">
        <v>7306</v>
      </c>
      <c r="C745" s="84" t="s">
        <v>958</v>
      </c>
      <c r="D745" s="84" t="s">
        <v>2629</v>
      </c>
      <c r="E745" s="84" t="s">
        <v>955</v>
      </c>
      <c r="F745" s="84" t="s">
        <v>1043</v>
      </c>
    </row>
    <row r="746" spans="1:6" hidden="1" x14ac:dyDescent="0.25">
      <c r="A746" s="85">
        <v>7310</v>
      </c>
      <c r="B746" s="85">
        <v>7310</v>
      </c>
      <c r="C746" s="84" t="s">
        <v>958</v>
      </c>
      <c r="D746" s="84" t="s">
        <v>2630</v>
      </c>
      <c r="E746" s="84" t="s">
        <v>955</v>
      </c>
      <c r="F746" s="84" t="s">
        <v>1043</v>
      </c>
    </row>
    <row r="747" spans="1:6" hidden="1" x14ac:dyDescent="0.25">
      <c r="A747" s="85">
        <v>7311</v>
      </c>
      <c r="B747" s="85">
        <v>7311</v>
      </c>
      <c r="C747" s="84" t="s">
        <v>958</v>
      </c>
      <c r="D747" s="84" t="s">
        <v>2631</v>
      </c>
      <c r="E747" s="84" t="s">
        <v>955</v>
      </c>
      <c r="F747" s="84" t="s">
        <v>1043</v>
      </c>
    </row>
    <row r="748" spans="1:6" hidden="1" x14ac:dyDescent="0.25">
      <c r="A748" s="85">
        <v>7312</v>
      </c>
      <c r="B748" s="85">
        <v>7312</v>
      </c>
      <c r="C748" s="84" t="s">
        <v>958</v>
      </c>
      <c r="D748" s="84" t="s">
        <v>1186</v>
      </c>
      <c r="E748" s="84" t="s">
        <v>955</v>
      </c>
      <c r="F748" s="84" t="s">
        <v>1043</v>
      </c>
    </row>
    <row r="749" spans="1:6" hidden="1" x14ac:dyDescent="0.25">
      <c r="A749" s="85">
        <v>7315</v>
      </c>
      <c r="B749" s="85">
        <v>7315</v>
      </c>
      <c r="C749" s="84" t="s">
        <v>958</v>
      </c>
      <c r="D749" s="84" t="s">
        <v>1187</v>
      </c>
      <c r="E749" s="84" t="s">
        <v>955</v>
      </c>
      <c r="F749" s="84" t="s">
        <v>1043</v>
      </c>
    </row>
    <row r="750" spans="1:6" hidden="1" x14ac:dyDescent="0.25">
      <c r="A750" s="85">
        <v>7317</v>
      </c>
      <c r="B750" s="85">
        <v>7317</v>
      </c>
      <c r="C750" s="84" t="s">
        <v>958</v>
      </c>
      <c r="D750" s="84" t="s">
        <v>2584</v>
      </c>
      <c r="E750" s="84" t="s">
        <v>955</v>
      </c>
      <c r="F750" s="84" t="s">
        <v>1043</v>
      </c>
    </row>
    <row r="751" spans="1:6" hidden="1" x14ac:dyDescent="0.25">
      <c r="A751" s="85">
        <v>7318</v>
      </c>
      <c r="B751" s="85">
        <v>7318</v>
      </c>
      <c r="C751" s="84" t="s">
        <v>958</v>
      </c>
      <c r="D751" s="84" t="s">
        <v>2632</v>
      </c>
      <c r="E751" s="84" t="s">
        <v>955</v>
      </c>
      <c r="F751" s="84" t="s">
        <v>1043</v>
      </c>
    </row>
    <row r="752" spans="1:6" hidden="1" x14ac:dyDescent="0.25">
      <c r="A752" s="85">
        <v>7320</v>
      </c>
      <c r="B752" s="85">
        <v>7320</v>
      </c>
      <c r="C752" s="84" t="s">
        <v>958</v>
      </c>
      <c r="D752" s="84" t="s">
        <v>2633</v>
      </c>
      <c r="E752" s="84" t="s">
        <v>955</v>
      </c>
      <c r="F752" s="84" t="s">
        <v>1043</v>
      </c>
    </row>
    <row r="753" spans="1:6" hidden="1" x14ac:dyDescent="0.25">
      <c r="A753" s="85">
        <v>7321</v>
      </c>
      <c r="B753" s="85">
        <v>7321</v>
      </c>
      <c r="C753" s="84" t="s">
        <v>958</v>
      </c>
      <c r="D753" s="84" t="s">
        <v>1188</v>
      </c>
      <c r="E753" s="84" t="s">
        <v>955</v>
      </c>
      <c r="F753" s="84" t="s">
        <v>1043</v>
      </c>
    </row>
    <row r="754" spans="1:6" hidden="1" x14ac:dyDescent="0.25">
      <c r="A754" s="85">
        <v>7322</v>
      </c>
      <c r="B754" s="85">
        <v>7322</v>
      </c>
      <c r="C754" s="84" t="s">
        <v>958</v>
      </c>
      <c r="D754" s="84" t="s">
        <v>388</v>
      </c>
      <c r="E754" s="84" t="s">
        <v>955</v>
      </c>
      <c r="F754" s="84" t="s">
        <v>1043</v>
      </c>
    </row>
    <row r="755" spans="1:6" hidden="1" x14ac:dyDescent="0.25">
      <c r="A755" s="85">
        <v>7323</v>
      </c>
      <c r="B755" s="85">
        <v>7323</v>
      </c>
      <c r="C755" s="84" t="s">
        <v>958</v>
      </c>
      <c r="D755" s="84" t="s">
        <v>389</v>
      </c>
      <c r="E755" s="84" t="s">
        <v>955</v>
      </c>
      <c r="F755" s="84" t="s">
        <v>1043</v>
      </c>
    </row>
    <row r="756" spans="1:6" hidden="1" x14ac:dyDescent="0.25">
      <c r="A756" s="85">
        <v>7324</v>
      </c>
      <c r="B756" s="85">
        <v>7324</v>
      </c>
      <c r="C756" s="84" t="s">
        <v>958</v>
      </c>
      <c r="D756" s="84" t="s">
        <v>390</v>
      </c>
      <c r="E756" s="84" t="s">
        <v>955</v>
      </c>
      <c r="F756" s="84" t="s">
        <v>1043</v>
      </c>
    </row>
    <row r="757" spans="1:6" hidden="1" x14ac:dyDescent="0.25">
      <c r="A757" s="85">
        <v>7325</v>
      </c>
      <c r="B757" s="85">
        <v>7325</v>
      </c>
      <c r="C757" s="84" t="s">
        <v>958</v>
      </c>
      <c r="D757" s="84" t="s">
        <v>1189</v>
      </c>
      <c r="E757" s="84" t="s">
        <v>955</v>
      </c>
      <c r="F757" s="84" t="s">
        <v>1043</v>
      </c>
    </row>
    <row r="758" spans="1:6" hidden="1" x14ac:dyDescent="0.25">
      <c r="A758" s="85">
        <v>7326</v>
      </c>
      <c r="B758" s="85">
        <v>7326</v>
      </c>
      <c r="C758" s="84" t="s">
        <v>958</v>
      </c>
      <c r="D758" s="84" t="s">
        <v>391</v>
      </c>
      <c r="E758" s="84" t="s">
        <v>955</v>
      </c>
      <c r="F758" s="84" t="s">
        <v>1043</v>
      </c>
    </row>
    <row r="759" spans="1:6" hidden="1" x14ac:dyDescent="0.25">
      <c r="A759" s="85">
        <v>7327</v>
      </c>
      <c r="B759" s="85">
        <v>7327</v>
      </c>
      <c r="C759" s="84" t="s">
        <v>958</v>
      </c>
      <c r="D759" s="84" t="s">
        <v>1190</v>
      </c>
      <c r="E759" s="84" t="s">
        <v>955</v>
      </c>
      <c r="F759" s="84" t="s">
        <v>1043</v>
      </c>
    </row>
    <row r="760" spans="1:6" hidden="1" x14ac:dyDescent="0.25">
      <c r="A760" s="85">
        <v>7328</v>
      </c>
      <c r="B760" s="85">
        <v>7328</v>
      </c>
      <c r="C760" s="84" t="s">
        <v>958</v>
      </c>
      <c r="D760" s="84" t="s">
        <v>392</v>
      </c>
      <c r="E760" s="84" t="s">
        <v>955</v>
      </c>
      <c r="F760" s="84" t="s">
        <v>1043</v>
      </c>
    </row>
    <row r="761" spans="1:6" hidden="1" x14ac:dyDescent="0.25">
      <c r="A761" s="85">
        <v>7329</v>
      </c>
      <c r="B761" s="85">
        <v>7329</v>
      </c>
      <c r="C761" s="84" t="s">
        <v>958</v>
      </c>
      <c r="D761" s="84" t="s">
        <v>393</v>
      </c>
      <c r="E761" s="84" t="s">
        <v>955</v>
      </c>
      <c r="F761" s="84" t="s">
        <v>1043</v>
      </c>
    </row>
    <row r="762" spans="1:6" hidden="1" x14ac:dyDescent="0.25">
      <c r="A762" s="85">
        <v>7332</v>
      </c>
      <c r="B762" s="85">
        <v>7332</v>
      </c>
      <c r="C762" s="84" t="s">
        <v>958</v>
      </c>
      <c r="D762" s="84" t="s">
        <v>394</v>
      </c>
      <c r="E762" s="84" t="s">
        <v>955</v>
      </c>
      <c r="F762" s="84" t="s">
        <v>1043</v>
      </c>
    </row>
    <row r="763" spans="1:6" hidden="1" x14ac:dyDescent="0.25">
      <c r="A763" s="85">
        <v>7341</v>
      </c>
      <c r="B763" s="85">
        <v>7341</v>
      </c>
      <c r="C763" s="84" t="s">
        <v>958</v>
      </c>
      <c r="D763" s="84" t="s">
        <v>2634</v>
      </c>
      <c r="E763" s="84" t="s">
        <v>955</v>
      </c>
      <c r="F763" s="84" t="s">
        <v>1043</v>
      </c>
    </row>
    <row r="764" spans="1:6" hidden="1" x14ac:dyDescent="0.25">
      <c r="A764" s="85">
        <v>7342</v>
      </c>
      <c r="B764" s="85">
        <v>7342</v>
      </c>
      <c r="C764" s="84" t="s">
        <v>958</v>
      </c>
      <c r="D764" s="84" t="s">
        <v>2635</v>
      </c>
      <c r="E764" s="84" t="s">
        <v>955</v>
      </c>
      <c r="F764" s="84" t="s">
        <v>1043</v>
      </c>
    </row>
    <row r="765" spans="1:6" hidden="1" x14ac:dyDescent="0.25">
      <c r="A765" s="85">
        <v>7343</v>
      </c>
      <c r="B765" s="85">
        <v>7343</v>
      </c>
      <c r="C765" s="84" t="s">
        <v>958</v>
      </c>
      <c r="D765" s="84" t="s">
        <v>1191</v>
      </c>
      <c r="E765" s="84" t="s">
        <v>955</v>
      </c>
      <c r="F765" s="84" t="s">
        <v>1043</v>
      </c>
    </row>
    <row r="766" spans="1:6" hidden="1" x14ac:dyDescent="0.25">
      <c r="A766" s="85">
        <v>7344</v>
      </c>
      <c r="B766" s="85">
        <v>7344</v>
      </c>
      <c r="C766" s="84" t="s">
        <v>958</v>
      </c>
      <c r="D766" s="84" t="s">
        <v>2636</v>
      </c>
      <c r="E766" s="84" t="s">
        <v>955</v>
      </c>
      <c r="F766" s="84" t="s">
        <v>1043</v>
      </c>
    </row>
    <row r="767" spans="1:6" hidden="1" x14ac:dyDescent="0.25">
      <c r="A767" s="85">
        <v>7345</v>
      </c>
      <c r="B767" s="85">
        <v>7345</v>
      </c>
      <c r="C767" s="84" t="s">
        <v>958</v>
      </c>
      <c r="D767" s="84" t="s">
        <v>1192</v>
      </c>
      <c r="E767" s="84" t="s">
        <v>955</v>
      </c>
      <c r="F767" s="84" t="s">
        <v>1043</v>
      </c>
    </row>
    <row r="768" spans="1:6" hidden="1" x14ac:dyDescent="0.25">
      <c r="A768" s="85">
        <v>7347</v>
      </c>
      <c r="B768" s="85">
        <v>7347</v>
      </c>
      <c r="C768" s="84" t="s">
        <v>958</v>
      </c>
      <c r="D768" s="84" t="s">
        <v>1193</v>
      </c>
      <c r="E768" s="84" t="s">
        <v>955</v>
      </c>
      <c r="F768" s="84" t="s">
        <v>1043</v>
      </c>
    </row>
    <row r="769" spans="1:6" hidden="1" x14ac:dyDescent="0.25">
      <c r="A769" s="85">
        <v>7348</v>
      </c>
      <c r="B769" s="85">
        <v>7348</v>
      </c>
      <c r="C769" s="84" t="s">
        <v>958</v>
      </c>
      <c r="D769" s="84" t="s">
        <v>2637</v>
      </c>
      <c r="E769" s="84" t="s">
        <v>955</v>
      </c>
      <c r="F769" s="84" t="s">
        <v>1043</v>
      </c>
    </row>
    <row r="770" spans="1:6" hidden="1" x14ac:dyDescent="0.25">
      <c r="A770" s="85">
        <v>7349</v>
      </c>
      <c r="B770" s="85">
        <v>7349</v>
      </c>
      <c r="C770" s="84" t="s">
        <v>958</v>
      </c>
      <c r="D770" s="84" t="s">
        <v>1194</v>
      </c>
      <c r="E770" s="84" t="s">
        <v>955</v>
      </c>
      <c r="F770" s="84" t="s">
        <v>1043</v>
      </c>
    </row>
    <row r="771" spans="1:6" hidden="1" x14ac:dyDescent="0.25">
      <c r="A771" s="85">
        <v>7350</v>
      </c>
      <c r="B771" s="85">
        <v>7350</v>
      </c>
      <c r="C771" s="84" t="s">
        <v>958</v>
      </c>
      <c r="D771" s="84" t="s">
        <v>395</v>
      </c>
      <c r="E771" s="84" t="s">
        <v>955</v>
      </c>
      <c r="F771" s="84" t="s">
        <v>1043</v>
      </c>
    </row>
    <row r="772" spans="1:6" hidden="1" x14ac:dyDescent="0.25">
      <c r="A772" s="85">
        <v>7351</v>
      </c>
      <c r="B772" s="85">
        <v>7351</v>
      </c>
      <c r="C772" s="84" t="s">
        <v>958</v>
      </c>
      <c r="D772" s="84" t="s">
        <v>1195</v>
      </c>
      <c r="E772" s="84" t="s">
        <v>955</v>
      </c>
      <c r="F772" s="84" t="s">
        <v>1043</v>
      </c>
    </row>
    <row r="773" spans="1:6" hidden="1" x14ac:dyDescent="0.25">
      <c r="A773" s="85">
        <v>7352</v>
      </c>
      <c r="B773" s="85">
        <v>7352</v>
      </c>
      <c r="C773" s="84" t="s">
        <v>958</v>
      </c>
      <c r="D773" s="84" t="s">
        <v>396</v>
      </c>
      <c r="E773" s="84" t="s">
        <v>955</v>
      </c>
      <c r="F773" s="84" t="s">
        <v>1043</v>
      </c>
    </row>
    <row r="774" spans="1:6" hidden="1" x14ac:dyDescent="0.25">
      <c r="A774" s="85">
        <v>7353</v>
      </c>
      <c r="B774" s="85">
        <v>7353</v>
      </c>
      <c r="C774" s="84" t="s">
        <v>958</v>
      </c>
      <c r="D774" s="84" t="s">
        <v>397</v>
      </c>
      <c r="E774" s="84" t="s">
        <v>955</v>
      </c>
      <c r="F774" s="84" t="s">
        <v>1043</v>
      </c>
    </row>
    <row r="775" spans="1:6" hidden="1" x14ac:dyDescent="0.25">
      <c r="A775" s="85">
        <v>7355</v>
      </c>
      <c r="B775" s="85">
        <v>7355</v>
      </c>
      <c r="C775" s="84" t="s">
        <v>958</v>
      </c>
      <c r="D775" s="84" t="s">
        <v>798</v>
      </c>
      <c r="E775" s="84" t="s">
        <v>955</v>
      </c>
      <c r="F775" s="84" t="s">
        <v>1043</v>
      </c>
    </row>
    <row r="776" spans="1:6" hidden="1" x14ac:dyDescent="0.25">
      <c r="A776" s="85">
        <v>7356</v>
      </c>
      <c r="B776" s="85">
        <v>7356</v>
      </c>
      <c r="C776" s="84" t="s">
        <v>958</v>
      </c>
      <c r="D776" s="84" t="s">
        <v>398</v>
      </c>
      <c r="E776" s="84" t="s">
        <v>955</v>
      </c>
      <c r="F776" s="84" t="s">
        <v>1043</v>
      </c>
    </row>
    <row r="777" spans="1:6" hidden="1" x14ac:dyDescent="0.25">
      <c r="A777" s="85">
        <v>7358</v>
      </c>
      <c r="B777" s="85">
        <v>7358</v>
      </c>
      <c r="C777" s="84" t="s">
        <v>958</v>
      </c>
      <c r="D777" s="84" t="s">
        <v>399</v>
      </c>
      <c r="E777" s="84" t="s">
        <v>955</v>
      </c>
      <c r="F777" s="84" t="s">
        <v>1043</v>
      </c>
    </row>
    <row r="778" spans="1:6" hidden="1" x14ac:dyDescent="0.25">
      <c r="A778" s="85">
        <v>7359</v>
      </c>
      <c r="B778" s="85">
        <v>7359</v>
      </c>
      <c r="C778" s="84" t="s">
        <v>958</v>
      </c>
      <c r="D778" s="84" t="s">
        <v>1196</v>
      </c>
      <c r="E778" s="84" t="s">
        <v>955</v>
      </c>
      <c r="F778" s="84" t="s">
        <v>1043</v>
      </c>
    </row>
    <row r="779" spans="1:6" hidden="1" x14ac:dyDescent="0.25">
      <c r="A779" s="85">
        <v>7360</v>
      </c>
      <c r="B779" s="85">
        <v>7360</v>
      </c>
      <c r="C779" s="84" t="s">
        <v>958</v>
      </c>
      <c r="D779" s="84" t="s">
        <v>1197</v>
      </c>
      <c r="E779" s="84" t="s">
        <v>955</v>
      </c>
      <c r="F779" s="84" t="s">
        <v>1043</v>
      </c>
    </row>
    <row r="780" spans="1:6" hidden="1" x14ac:dyDescent="0.25">
      <c r="A780" s="85">
        <v>7362</v>
      </c>
      <c r="B780" s="85">
        <v>7362</v>
      </c>
      <c r="C780" s="84" t="s">
        <v>958</v>
      </c>
      <c r="D780" s="84" t="s">
        <v>1198</v>
      </c>
      <c r="E780" s="84" t="s">
        <v>955</v>
      </c>
      <c r="F780" s="84" t="s">
        <v>1043</v>
      </c>
    </row>
    <row r="781" spans="1:6" hidden="1" x14ac:dyDescent="0.25">
      <c r="A781" s="85">
        <v>7363</v>
      </c>
      <c r="B781" s="85">
        <v>7363</v>
      </c>
      <c r="C781" s="84" t="s">
        <v>958</v>
      </c>
      <c r="D781" s="84" t="s">
        <v>1199</v>
      </c>
      <c r="E781" s="84" t="s">
        <v>955</v>
      </c>
      <c r="F781" s="84" t="s">
        <v>1043</v>
      </c>
    </row>
    <row r="782" spans="1:6" hidden="1" x14ac:dyDescent="0.25">
      <c r="A782" s="85">
        <v>7364</v>
      </c>
      <c r="B782" s="85">
        <v>7364</v>
      </c>
      <c r="C782" s="84" t="s">
        <v>958</v>
      </c>
      <c r="D782" s="84" t="s">
        <v>1200</v>
      </c>
      <c r="E782" s="84" t="s">
        <v>955</v>
      </c>
      <c r="F782" s="84" t="s">
        <v>1043</v>
      </c>
    </row>
    <row r="783" spans="1:6" hidden="1" x14ac:dyDescent="0.25">
      <c r="A783" s="85">
        <v>7370</v>
      </c>
      <c r="B783" s="85">
        <v>7370</v>
      </c>
      <c r="C783" s="84" t="s">
        <v>958</v>
      </c>
      <c r="D783" s="84" t="s">
        <v>1201</v>
      </c>
      <c r="E783" s="84" t="s">
        <v>955</v>
      </c>
      <c r="F783" s="84" t="s">
        <v>1043</v>
      </c>
    </row>
    <row r="784" spans="1:6" hidden="1" x14ac:dyDescent="0.25">
      <c r="A784" s="85">
        <v>7371</v>
      </c>
      <c r="B784" s="85">
        <v>7371</v>
      </c>
      <c r="C784" s="84" t="s">
        <v>958</v>
      </c>
      <c r="D784" s="84" t="s">
        <v>2638</v>
      </c>
      <c r="E784" s="84" t="s">
        <v>955</v>
      </c>
      <c r="F784" s="84" t="s">
        <v>1043</v>
      </c>
    </row>
    <row r="785" spans="1:6" hidden="1" x14ac:dyDescent="0.25">
      <c r="A785" s="85">
        <v>7373</v>
      </c>
      <c r="B785" s="85">
        <v>7373</v>
      </c>
      <c r="C785" s="84" t="s">
        <v>958</v>
      </c>
      <c r="D785" s="84" t="s">
        <v>1202</v>
      </c>
      <c r="E785" s="84" t="s">
        <v>955</v>
      </c>
      <c r="F785" s="84" t="s">
        <v>1043</v>
      </c>
    </row>
    <row r="786" spans="1:6" hidden="1" x14ac:dyDescent="0.25">
      <c r="A786" s="85">
        <v>7374</v>
      </c>
      <c r="B786" s="85">
        <v>7374</v>
      </c>
      <c r="C786" s="84" t="s">
        <v>958</v>
      </c>
      <c r="D786" s="84" t="s">
        <v>1203</v>
      </c>
      <c r="E786" s="84" t="s">
        <v>955</v>
      </c>
      <c r="F786" s="84" t="s">
        <v>1043</v>
      </c>
    </row>
    <row r="787" spans="1:6" hidden="1" x14ac:dyDescent="0.25">
      <c r="A787" s="85">
        <v>7378</v>
      </c>
      <c r="B787" s="85">
        <v>7378</v>
      </c>
      <c r="C787" s="84" t="s">
        <v>958</v>
      </c>
      <c r="D787" s="84" t="s">
        <v>401</v>
      </c>
      <c r="E787" s="84" t="s">
        <v>955</v>
      </c>
      <c r="F787" s="84" t="s">
        <v>1043</v>
      </c>
    </row>
    <row r="788" spans="1:6" hidden="1" x14ac:dyDescent="0.25">
      <c r="A788" s="85">
        <v>7379</v>
      </c>
      <c r="B788" s="85">
        <v>7379</v>
      </c>
      <c r="C788" s="84" t="s">
        <v>958</v>
      </c>
      <c r="D788" s="84" t="s">
        <v>402</v>
      </c>
      <c r="E788" s="84" t="s">
        <v>955</v>
      </c>
      <c r="F788" s="84" t="s">
        <v>1043</v>
      </c>
    </row>
    <row r="789" spans="1:6" hidden="1" x14ac:dyDescent="0.25">
      <c r="A789" s="85">
        <v>7380</v>
      </c>
      <c r="B789" s="85">
        <v>7380</v>
      </c>
      <c r="C789" s="84" t="s">
        <v>958</v>
      </c>
      <c r="D789" s="84" t="s">
        <v>2639</v>
      </c>
      <c r="E789" s="84" t="s">
        <v>955</v>
      </c>
      <c r="F789" s="84" t="s">
        <v>1043</v>
      </c>
    </row>
    <row r="790" spans="1:6" hidden="1" x14ac:dyDescent="0.25">
      <c r="A790" s="85">
        <v>7381</v>
      </c>
      <c r="B790" s="85">
        <v>7381</v>
      </c>
      <c r="C790" s="84" t="s">
        <v>958</v>
      </c>
      <c r="D790" s="84" t="s">
        <v>1204</v>
      </c>
      <c r="E790" s="84" t="s">
        <v>955</v>
      </c>
      <c r="F790" s="84" t="s">
        <v>1043</v>
      </c>
    </row>
    <row r="791" spans="1:6" hidden="1" x14ac:dyDescent="0.25">
      <c r="A791" s="85">
        <v>7382</v>
      </c>
      <c r="B791" s="85">
        <v>7382</v>
      </c>
      <c r="C791" s="84" t="s">
        <v>958</v>
      </c>
      <c r="D791" s="84" t="s">
        <v>2640</v>
      </c>
      <c r="E791" s="84" t="s">
        <v>955</v>
      </c>
      <c r="F791" s="84" t="s">
        <v>1043</v>
      </c>
    </row>
    <row r="792" spans="1:6" hidden="1" x14ac:dyDescent="0.25">
      <c r="A792" s="85">
        <v>7383</v>
      </c>
      <c r="B792" s="85">
        <v>7383</v>
      </c>
      <c r="C792" s="84" t="s">
        <v>958</v>
      </c>
      <c r="D792" s="84" t="s">
        <v>2641</v>
      </c>
      <c r="E792" s="84" t="s">
        <v>955</v>
      </c>
      <c r="F792" s="84" t="s">
        <v>1043</v>
      </c>
    </row>
    <row r="793" spans="1:6" hidden="1" x14ac:dyDescent="0.25">
      <c r="A793" s="85">
        <v>7387</v>
      </c>
      <c r="B793" s="85">
        <v>7387</v>
      </c>
      <c r="C793" s="84" t="s">
        <v>958</v>
      </c>
      <c r="D793" s="84" t="s">
        <v>1205</v>
      </c>
      <c r="E793" s="84" t="s">
        <v>955</v>
      </c>
      <c r="F793" s="84" t="s">
        <v>1043</v>
      </c>
    </row>
    <row r="794" spans="1:6" hidden="1" x14ac:dyDescent="0.25">
      <c r="A794" s="85">
        <v>7388</v>
      </c>
      <c r="B794" s="85">
        <v>7388</v>
      </c>
      <c r="C794" s="84" t="s">
        <v>958</v>
      </c>
      <c r="D794" s="84" t="s">
        <v>2642</v>
      </c>
      <c r="E794" s="84" t="s">
        <v>955</v>
      </c>
      <c r="F794" s="84" t="s">
        <v>1043</v>
      </c>
    </row>
    <row r="795" spans="1:6" hidden="1" x14ac:dyDescent="0.25">
      <c r="A795" s="85">
        <v>7389</v>
      </c>
      <c r="B795" s="85">
        <v>7389</v>
      </c>
      <c r="C795" s="84" t="s">
        <v>958</v>
      </c>
      <c r="D795" s="84" t="s">
        <v>340</v>
      </c>
      <c r="E795" s="84" t="s">
        <v>955</v>
      </c>
      <c r="F795" s="84" t="s">
        <v>1043</v>
      </c>
    </row>
    <row r="796" spans="1:6" hidden="1" x14ac:dyDescent="0.25">
      <c r="A796" s="85">
        <v>7390</v>
      </c>
      <c r="B796" s="85">
        <v>7390</v>
      </c>
      <c r="C796" s="84" t="s">
        <v>958</v>
      </c>
      <c r="D796" s="84" t="s">
        <v>1206</v>
      </c>
      <c r="E796" s="84" t="s">
        <v>955</v>
      </c>
      <c r="F796" s="84" t="s">
        <v>1043</v>
      </c>
    </row>
    <row r="797" spans="1:6" hidden="1" x14ac:dyDescent="0.25">
      <c r="A797" s="85">
        <v>7391</v>
      </c>
      <c r="B797" s="85">
        <v>7391</v>
      </c>
      <c r="C797" s="84" t="s">
        <v>958</v>
      </c>
      <c r="D797" s="84" t="s">
        <v>1207</v>
      </c>
      <c r="E797" s="84" t="s">
        <v>955</v>
      </c>
      <c r="F797" s="84" t="s">
        <v>1043</v>
      </c>
    </row>
    <row r="798" spans="1:6" hidden="1" x14ac:dyDescent="0.25">
      <c r="A798" s="85">
        <v>7392</v>
      </c>
      <c r="B798" s="85">
        <v>7392</v>
      </c>
      <c r="C798" s="84" t="s">
        <v>958</v>
      </c>
      <c r="D798" s="84" t="s">
        <v>1208</v>
      </c>
      <c r="E798" s="84" t="s">
        <v>955</v>
      </c>
      <c r="F798" s="84" t="s">
        <v>1043</v>
      </c>
    </row>
    <row r="799" spans="1:6" hidden="1" x14ac:dyDescent="0.25">
      <c r="A799" s="85">
        <v>7393</v>
      </c>
      <c r="B799" s="85">
        <v>7393</v>
      </c>
      <c r="C799" s="84" t="s">
        <v>958</v>
      </c>
      <c r="D799" s="84" t="s">
        <v>1209</v>
      </c>
      <c r="E799" s="84" t="s">
        <v>955</v>
      </c>
      <c r="F799" s="84" t="s">
        <v>1043</v>
      </c>
    </row>
    <row r="800" spans="1:6" hidden="1" x14ac:dyDescent="0.25">
      <c r="A800" s="85">
        <v>7394</v>
      </c>
      <c r="B800" s="85">
        <v>7394</v>
      </c>
      <c r="C800" s="84" t="s">
        <v>958</v>
      </c>
      <c r="D800" s="84" t="s">
        <v>2643</v>
      </c>
      <c r="E800" s="84" t="s">
        <v>955</v>
      </c>
      <c r="F800" s="84" t="s">
        <v>1043</v>
      </c>
    </row>
    <row r="801" spans="1:6" hidden="1" x14ac:dyDescent="0.25">
      <c r="A801" s="85">
        <v>7395</v>
      </c>
      <c r="B801" s="85">
        <v>7395</v>
      </c>
      <c r="C801" s="84" t="s">
        <v>958</v>
      </c>
      <c r="D801" s="84" t="s">
        <v>2644</v>
      </c>
      <c r="E801" s="84" t="s">
        <v>955</v>
      </c>
      <c r="F801" s="84" t="s">
        <v>1043</v>
      </c>
    </row>
    <row r="802" spans="1:6" hidden="1" x14ac:dyDescent="0.25">
      <c r="A802" s="85">
        <v>7396</v>
      </c>
      <c r="B802" s="85">
        <v>7396</v>
      </c>
      <c r="C802" s="84" t="s">
        <v>958</v>
      </c>
      <c r="D802" s="84" t="s">
        <v>2645</v>
      </c>
      <c r="E802" s="84" t="s">
        <v>955</v>
      </c>
      <c r="F802" s="84" t="s">
        <v>1043</v>
      </c>
    </row>
    <row r="803" spans="1:6" hidden="1" x14ac:dyDescent="0.25">
      <c r="A803" s="85">
        <v>7397</v>
      </c>
      <c r="B803" s="85">
        <v>7397</v>
      </c>
      <c r="C803" s="84" t="s">
        <v>958</v>
      </c>
      <c r="D803" s="84" t="s">
        <v>2646</v>
      </c>
      <c r="E803" s="84" t="s">
        <v>955</v>
      </c>
      <c r="F803" s="84" t="s">
        <v>1043</v>
      </c>
    </row>
    <row r="804" spans="1:6" hidden="1" x14ac:dyDescent="0.25">
      <c r="A804" s="85">
        <v>7398</v>
      </c>
      <c r="B804" s="85">
        <v>7398</v>
      </c>
      <c r="C804" s="84" t="s">
        <v>958</v>
      </c>
      <c r="D804" s="84" t="s">
        <v>340</v>
      </c>
      <c r="E804" s="84" t="s">
        <v>955</v>
      </c>
      <c r="F804" s="84" t="s">
        <v>1043</v>
      </c>
    </row>
    <row r="805" spans="1:6" hidden="1" x14ac:dyDescent="0.25">
      <c r="A805" s="85">
        <v>7399</v>
      </c>
      <c r="B805" s="85">
        <v>7399</v>
      </c>
      <c r="C805" s="84" t="s">
        <v>958</v>
      </c>
      <c r="D805" s="84" t="s">
        <v>1210</v>
      </c>
      <c r="E805" s="84" t="s">
        <v>955</v>
      </c>
      <c r="F805" s="84" t="s">
        <v>1043</v>
      </c>
    </row>
    <row r="806" spans="1:6" hidden="1" x14ac:dyDescent="0.25">
      <c r="A806" s="85">
        <v>7409</v>
      </c>
      <c r="B806" s="85">
        <v>7409</v>
      </c>
      <c r="C806" s="84" t="s">
        <v>958</v>
      </c>
      <c r="D806" s="84" t="s">
        <v>403</v>
      </c>
      <c r="E806" s="84" t="s">
        <v>955</v>
      </c>
      <c r="F806" s="84" t="s">
        <v>1043</v>
      </c>
    </row>
    <row r="807" spans="1:6" hidden="1" x14ac:dyDescent="0.25">
      <c r="A807" s="85">
        <v>7414</v>
      </c>
      <c r="B807" s="85">
        <v>7414</v>
      </c>
      <c r="C807" s="84" t="s">
        <v>958</v>
      </c>
      <c r="D807" s="84" t="s">
        <v>2647</v>
      </c>
      <c r="E807" s="84" t="s">
        <v>955</v>
      </c>
      <c r="F807" s="84" t="s">
        <v>1043</v>
      </c>
    </row>
    <row r="808" spans="1:6" hidden="1" x14ac:dyDescent="0.25">
      <c r="A808" s="85">
        <v>7430</v>
      </c>
      <c r="B808" s="85">
        <v>7430</v>
      </c>
      <c r="C808" s="84" t="s">
        <v>958</v>
      </c>
      <c r="D808" s="84" t="s">
        <v>2648</v>
      </c>
      <c r="E808" s="84" t="s">
        <v>955</v>
      </c>
      <c r="F808" s="84" t="s">
        <v>1043</v>
      </c>
    </row>
    <row r="809" spans="1:6" hidden="1" x14ac:dyDescent="0.25">
      <c r="A809" s="85">
        <v>7431</v>
      </c>
      <c r="B809" s="85">
        <v>7431</v>
      </c>
      <c r="C809" s="84" t="s">
        <v>958</v>
      </c>
      <c r="D809" s="84" t="s">
        <v>2649</v>
      </c>
      <c r="E809" s="84" t="s">
        <v>955</v>
      </c>
      <c r="F809" s="84" t="s">
        <v>1043</v>
      </c>
    </row>
    <row r="810" spans="1:6" hidden="1" x14ac:dyDescent="0.25">
      <c r="A810" s="85">
        <v>7432</v>
      </c>
      <c r="B810" s="85">
        <v>7432</v>
      </c>
      <c r="C810" s="84" t="s">
        <v>958</v>
      </c>
      <c r="D810" s="84" t="s">
        <v>2650</v>
      </c>
      <c r="E810" s="84" t="s">
        <v>955</v>
      </c>
      <c r="F810" s="84" t="s">
        <v>1043</v>
      </c>
    </row>
    <row r="811" spans="1:6" hidden="1" x14ac:dyDescent="0.25">
      <c r="A811" s="85">
        <v>7433</v>
      </c>
      <c r="B811" s="85">
        <v>7433</v>
      </c>
      <c r="C811" s="84" t="s">
        <v>958</v>
      </c>
      <c r="D811" s="84" t="s">
        <v>2651</v>
      </c>
      <c r="E811" s="84" t="s">
        <v>955</v>
      </c>
      <c r="F811" s="84" t="s">
        <v>1043</v>
      </c>
    </row>
    <row r="812" spans="1:6" hidden="1" x14ac:dyDescent="0.25">
      <c r="A812" s="85">
        <v>7434</v>
      </c>
      <c r="B812" s="85">
        <v>7434</v>
      </c>
      <c r="C812" s="84" t="s">
        <v>958</v>
      </c>
      <c r="D812" s="84" t="s">
        <v>2652</v>
      </c>
      <c r="E812" s="84" t="s">
        <v>955</v>
      </c>
      <c r="F812" s="84" t="s">
        <v>1043</v>
      </c>
    </row>
    <row r="813" spans="1:6" hidden="1" x14ac:dyDescent="0.25">
      <c r="A813" s="85">
        <v>7435</v>
      </c>
      <c r="B813" s="85">
        <v>7435</v>
      </c>
      <c r="C813" s="84" t="s">
        <v>958</v>
      </c>
      <c r="D813" s="84" t="s">
        <v>1211</v>
      </c>
      <c r="E813" s="84" t="s">
        <v>955</v>
      </c>
      <c r="F813" s="84" t="s">
        <v>1043</v>
      </c>
    </row>
    <row r="814" spans="1:6" hidden="1" x14ac:dyDescent="0.25">
      <c r="A814" s="85">
        <v>7436</v>
      </c>
      <c r="B814" s="85">
        <v>7436</v>
      </c>
      <c r="C814" s="84" t="s">
        <v>958</v>
      </c>
      <c r="D814" s="84" t="s">
        <v>1212</v>
      </c>
      <c r="E814" s="84" t="s">
        <v>955</v>
      </c>
      <c r="F814" s="84" t="s">
        <v>1043</v>
      </c>
    </row>
    <row r="815" spans="1:6" hidden="1" x14ac:dyDescent="0.25">
      <c r="A815" s="85">
        <v>7437</v>
      </c>
      <c r="B815" s="85">
        <v>7437</v>
      </c>
      <c r="C815" s="84" t="s">
        <v>958</v>
      </c>
      <c r="D815" s="84" t="s">
        <v>1213</v>
      </c>
      <c r="E815" s="84" t="s">
        <v>955</v>
      </c>
      <c r="F815" s="84" t="s">
        <v>1043</v>
      </c>
    </row>
    <row r="816" spans="1:6" hidden="1" x14ac:dyDescent="0.25">
      <c r="A816" s="85">
        <v>7438</v>
      </c>
      <c r="B816" s="85">
        <v>7438</v>
      </c>
      <c r="C816" s="84" t="s">
        <v>958</v>
      </c>
      <c r="D816" s="84" t="s">
        <v>2653</v>
      </c>
      <c r="E816" s="84" t="s">
        <v>955</v>
      </c>
      <c r="F816" s="84" t="s">
        <v>1043</v>
      </c>
    </row>
    <row r="817" spans="1:6" hidden="1" x14ac:dyDescent="0.25">
      <c r="A817" s="85">
        <v>7439</v>
      </c>
      <c r="B817" s="85">
        <v>7439</v>
      </c>
      <c r="C817" s="84" t="s">
        <v>958</v>
      </c>
      <c r="D817" s="84" t="s">
        <v>2654</v>
      </c>
      <c r="E817" s="84" t="s">
        <v>955</v>
      </c>
      <c r="F817" s="84" t="s">
        <v>1043</v>
      </c>
    </row>
    <row r="818" spans="1:6" hidden="1" x14ac:dyDescent="0.25">
      <c r="A818" s="85">
        <v>7447</v>
      </c>
      <c r="B818" s="85">
        <v>7447</v>
      </c>
      <c r="C818" s="84" t="s">
        <v>958</v>
      </c>
      <c r="D818" s="84" t="s">
        <v>2655</v>
      </c>
      <c r="E818" s="84" t="s">
        <v>955</v>
      </c>
      <c r="F818" s="84" t="s">
        <v>1043</v>
      </c>
    </row>
    <row r="819" spans="1:6" hidden="1" x14ac:dyDescent="0.25">
      <c r="A819" s="85">
        <v>7454</v>
      </c>
      <c r="B819" s="85">
        <v>7454</v>
      </c>
      <c r="C819" s="84" t="s">
        <v>958</v>
      </c>
      <c r="D819" s="84" t="s">
        <v>404</v>
      </c>
      <c r="E819" s="84" t="s">
        <v>955</v>
      </c>
      <c r="F819" s="84" t="s">
        <v>1043</v>
      </c>
    </row>
    <row r="820" spans="1:6" hidden="1" x14ac:dyDescent="0.25">
      <c r="A820" s="85">
        <v>7455</v>
      </c>
      <c r="B820" s="85">
        <v>7455</v>
      </c>
      <c r="C820" s="84" t="s">
        <v>958</v>
      </c>
      <c r="D820" s="84" t="s">
        <v>2623</v>
      </c>
      <c r="E820" s="84" t="s">
        <v>955</v>
      </c>
      <c r="F820" s="84" t="s">
        <v>1043</v>
      </c>
    </row>
    <row r="821" spans="1:6" hidden="1" x14ac:dyDescent="0.25">
      <c r="A821" s="85">
        <v>7460</v>
      </c>
      <c r="B821" s="85">
        <v>7460</v>
      </c>
      <c r="C821" s="84" t="s">
        <v>958</v>
      </c>
      <c r="D821" s="84" t="s">
        <v>2628</v>
      </c>
      <c r="E821" s="84" t="s">
        <v>955</v>
      </c>
      <c r="F821" s="84" t="s">
        <v>1043</v>
      </c>
    </row>
    <row r="822" spans="1:6" hidden="1" x14ac:dyDescent="0.25">
      <c r="A822" s="85">
        <v>7461</v>
      </c>
      <c r="B822" s="85">
        <v>7461</v>
      </c>
      <c r="C822" s="84" t="s">
        <v>958</v>
      </c>
      <c r="D822" s="84" t="s">
        <v>2628</v>
      </c>
      <c r="E822" s="84" t="s">
        <v>955</v>
      </c>
      <c r="F822" s="84" t="s">
        <v>1043</v>
      </c>
    </row>
    <row r="823" spans="1:6" hidden="1" x14ac:dyDescent="0.25">
      <c r="A823" s="85">
        <v>7464</v>
      </c>
      <c r="B823" s="85">
        <v>7464</v>
      </c>
      <c r="C823" s="84" t="s">
        <v>958</v>
      </c>
      <c r="D823" s="84" t="s">
        <v>2656</v>
      </c>
      <c r="E823" s="84" t="s">
        <v>955</v>
      </c>
      <c r="F823" s="84" t="s">
        <v>1043</v>
      </c>
    </row>
    <row r="824" spans="1:6" hidden="1" x14ac:dyDescent="0.25">
      <c r="A824" s="85">
        <v>7466</v>
      </c>
      <c r="B824" s="85">
        <v>7466</v>
      </c>
      <c r="C824" s="84" t="s">
        <v>958</v>
      </c>
      <c r="D824" s="84" t="s">
        <v>2657</v>
      </c>
      <c r="E824" s="84" t="s">
        <v>955</v>
      </c>
      <c r="F824" s="84" t="s">
        <v>1043</v>
      </c>
    </row>
    <row r="825" spans="1:6" hidden="1" x14ac:dyDescent="0.25">
      <c r="A825" s="85">
        <v>7467</v>
      </c>
      <c r="B825" s="85">
        <v>7467</v>
      </c>
      <c r="C825" s="84" t="s">
        <v>958</v>
      </c>
      <c r="D825" s="84" t="s">
        <v>2658</v>
      </c>
      <c r="E825" s="84" t="s">
        <v>955</v>
      </c>
      <c r="F825" s="84" t="s">
        <v>1043</v>
      </c>
    </row>
    <row r="826" spans="1:6" hidden="1" x14ac:dyDescent="0.25">
      <c r="A826" s="85">
        <v>7468</v>
      </c>
      <c r="B826" s="85">
        <v>7468</v>
      </c>
      <c r="C826" s="84" t="s">
        <v>958</v>
      </c>
      <c r="D826" s="84" t="s">
        <v>2659</v>
      </c>
      <c r="E826" s="84" t="s">
        <v>955</v>
      </c>
      <c r="F826" s="84" t="s">
        <v>1043</v>
      </c>
    </row>
    <row r="827" spans="1:6" hidden="1" x14ac:dyDescent="0.25">
      <c r="A827" s="85">
        <v>7469</v>
      </c>
      <c r="B827" s="85">
        <v>7469</v>
      </c>
      <c r="C827" s="84" t="s">
        <v>958</v>
      </c>
      <c r="D827" s="84" t="s">
        <v>2660</v>
      </c>
      <c r="E827" s="84" t="s">
        <v>955</v>
      </c>
      <c r="F827" s="84" t="s">
        <v>1043</v>
      </c>
    </row>
    <row r="828" spans="1:6" hidden="1" x14ac:dyDescent="0.25">
      <c r="A828" s="85">
        <v>7470</v>
      </c>
      <c r="B828" s="85">
        <v>7470</v>
      </c>
      <c r="C828" s="84" t="s">
        <v>958</v>
      </c>
      <c r="D828" s="84" t="s">
        <v>1278</v>
      </c>
      <c r="E828" s="84" t="s">
        <v>955</v>
      </c>
      <c r="F828" s="84" t="s">
        <v>1043</v>
      </c>
    </row>
    <row r="829" spans="1:6" hidden="1" x14ac:dyDescent="0.25">
      <c r="A829" s="85">
        <v>7471</v>
      </c>
      <c r="B829" s="85">
        <v>7471</v>
      </c>
      <c r="C829" s="84" t="s">
        <v>958</v>
      </c>
      <c r="D829" s="84" t="s">
        <v>2661</v>
      </c>
      <c r="E829" s="84" t="s">
        <v>955</v>
      </c>
      <c r="F829" s="84" t="s">
        <v>1043</v>
      </c>
    </row>
    <row r="830" spans="1:6" hidden="1" x14ac:dyDescent="0.25">
      <c r="A830" s="85">
        <v>7477</v>
      </c>
      <c r="B830" s="85">
        <v>7477</v>
      </c>
      <c r="C830" s="84" t="s">
        <v>958</v>
      </c>
      <c r="D830" s="84" t="s">
        <v>2662</v>
      </c>
      <c r="E830" s="84" t="s">
        <v>955</v>
      </c>
      <c r="F830" s="84" t="s">
        <v>1043</v>
      </c>
    </row>
    <row r="831" spans="1:6" hidden="1" x14ac:dyDescent="0.25">
      <c r="A831" s="85">
        <v>7479</v>
      </c>
      <c r="B831" s="85">
        <v>7479</v>
      </c>
      <c r="C831" s="84" t="s">
        <v>958</v>
      </c>
      <c r="D831" s="84" t="s">
        <v>2663</v>
      </c>
      <c r="E831" s="84" t="s">
        <v>955</v>
      </c>
      <c r="F831" s="84" t="s">
        <v>1043</v>
      </c>
    </row>
    <row r="832" spans="1:6" hidden="1" x14ac:dyDescent="0.25">
      <c r="A832" s="85">
        <v>7480</v>
      </c>
      <c r="B832" s="85">
        <v>7480</v>
      </c>
      <c r="C832" s="84" t="s">
        <v>958</v>
      </c>
      <c r="D832" s="84" t="s">
        <v>2664</v>
      </c>
      <c r="E832" s="84" t="s">
        <v>955</v>
      </c>
      <c r="F832" s="84" t="s">
        <v>1043</v>
      </c>
    </row>
    <row r="833" spans="1:6" hidden="1" x14ac:dyDescent="0.25">
      <c r="A833" s="85">
        <v>7484</v>
      </c>
      <c r="B833" s="85">
        <v>7484</v>
      </c>
      <c r="C833" s="84" t="s">
        <v>958</v>
      </c>
      <c r="D833" s="84" t="s">
        <v>2665</v>
      </c>
      <c r="E833" s="84" t="s">
        <v>955</v>
      </c>
      <c r="F833" s="84" t="s">
        <v>1043</v>
      </c>
    </row>
    <row r="834" spans="1:6" hidden="1" x14ac:dyDescent="0.25">
      <c r="A834" s="85">
        <v>7519</v>
      </c>
      <c r="B834" s="85">
        <v>7519</v>
      </c>
      <c r="C834" s="84" t="s">
        <v>958</v>
      </c>
      <c r="D834" s="84" t="s">
        <v>2666</v>
      </c>
      <c r="E834" s="84" t="s">
        <v>955</v>
      </c>
      <c r="F834" s="84" t="s">
        <v>1043</v>
      </c>
    </row>
    <row r="835" spans="1:6" hidden="1" x14ac:dyDescent="0.25">
      <c r="A835" s="85">
        <v>7520</v>
      </c>
      <c r="B835" s="85">
        <v>7520</v>
      </c>
      <c r="C835" s="84" t="s">
        <v>958</v>
      </c>
      <c r="D835" s="84" t="s">
        <v>1214</v>
      </c>
      <c r="E835" s="84" t="s">
        <v>955</v>
      </c>
      <c r="F835" s="84" t="s">
        <v>1043</v>
      </c>
    </row>
    <row r="836" spans="1:6" hidden="1" x14ac:dyDescent="0.25">
      <c r="A836" s="85">
        <v>7521</v>
      </c>
      <c r="B836" s="85">
        <v>7521</v>
      </c>
      <c r="C836" s="84" t="s">
        <v>958</v>
      </c>
      <c r="D836" s="84" t="s">
        <v>1215</v>
      </c>
      <c r="E836" s="84" t="s">
        <v>955</v>
      </c>
      <c r="F836" s="84" t="s">
        <v>1043</v>
      </c>
    </row>
    <row r="837" spans="1:6" hidden="1" x14ac:dyDescent="0.25">
      <c r="A837" s="85">
        <v>7522</v>
      </c>
      <c r="B837" s="85">
        <v>7522</v>
      </c>
      <c r="C837" s="84" t="s">
        <v>958</v>
      </c>
      <c r="D837" s="84" t="s">
        <v>1216</v>
      </c>
      <c r="E837" s="84" t="s">
        <v>955</v>
      </c>
      <c r="F837" s="84" t="s">
        <v>1043</v>
      </c>
    </row>
    <row r="838" spans="1:6" hidden="1" x14ac:dyDescent="0.25">
      <c r="A838" s="85">
        <v>7523</v>
      </c>
      <c r="B838" s="85">
        <v>7523</v>
      </c>
      <c r="C838" s="84" t="s">
        <v>958</v>
      </c>
      <c r="D838" s="84" t="s">
        <v>2667</v>
      </c>
      <c r="E838" s="84" t="s">
        <v>955</v>
      </c>
      <c r="F838" s="84" t="s">
        <v>1043</v>
      </c>
    </row>
    <row r="839" spans="1:6" hidden="1" x14ac:dyDescent="0.25">
      <c r="A839" s="85">
        <v>7524</v>
      </c>
      <c r="B839" s="85">
        <v>7524</v>
      </c>
      <c r="C839" s="84" t="s">
        <v>958</v>
      </c>
      <c r="D839" s="84" t="s">
        <v>1217</v>
      </c>
      <c r="E839" s="84" t="s">
        <v>955</v>
      </c>
      <c r="F839" s="84" t="s">
        <v>1043</v>
      </c>
    </row>
    <row r="840" spans="1:6" hidden="1" x14ac:dyDescent="0.25">
      <c r="A840" s="85">
        <v>7544</v>
      </c>
      <c r="B840" s="85">
        <v>7544</v>
      </c>
      <c r="C840" s="84" t="s">
        <v>958</v>
      </c>
      <c r="D840" s="84" t="s">
        <v>2668</v>
      </c>
      <c r="E840" s="84" t="s">
        <v>955</v>
      </c>
      <c r="F840" s="84" t="s">
        <v>1043</v>
      </c>
    </row>
    <row r="841" spans="1:6" hidden="1" x14ac:dyDescent="0.25">
      <c r="A841" s="85">
        <v>7545</v>
      </c>
      <c r="B841" s="85">
        <v>7545</v>
      </c>
      <c r="C841" s="84" t="s">
        <v>958</v>
      </c>
      <c r="D841" s="84" t="s">
        <v>2669</v>
      </c>
      <c r="E841" s="84" t="s">
        <v>955</v>
      </c>
      <c r="F841" s="84" t="s">
        <v>1043</v>
      </c>
    </row>
    <row r="842" spans="1:6" hidden="1" x14ac:dyDescent="0.25">
      <c r="A842" s="85">
        <v>7550</v>
      </c>
      <c r="B842" s="85">
        <v>7550</v>
      </c>
      <c r="C842" s="84" t="s">
        <v>958</v>
      </c>
      <c r="D842" s="84" t="s">
        <v>1218</v>
      </c>
      <c r="E842" s="84" t="s">
        <v>955</v>
      </c>
      <c r="F842" s="84" t="s">
        <v>1043</v>
      </c>
    </row>
    <row r="843" spans="1:6" hidden="1" x14ac:dyDescent="0.25">
      <c r="A843" s="85">
        <v>7551</v>
      </c>
      <c r="B843" s="85">
        <v>7551</v>
      </c>
      <c r="C843" s="84" t="s">
        <v>958</v>
      </c>
      <c r="D843" s="84" t="s">
        <v>340</v>
      </c>
      <c r="E843" s="84" t="s">
        <v>955</v>
      </c>
      <c r="F843" s="84" t="s">
        <v>1043</v>
      </c>
    </row>
    <row r="844" spans="1:6" hidden="1" x14ac:dyDescent="0.25">
      <c r="A844" s="85">
        <v>7552</v>
      </c>
      <c r="B844" s="85">
        <v>7552</v>
      </c>
      <c r="C844" s="84" t="s">
        <v>958</v>
      </c>
      <c r="D844" s="84" t="s">
        <v>2670</v>
      </c>
      <c r="E844" s="84" t="s">
        <v>955</v>
      </c>
      <c r="F844" s="84" t="s">
        <v>1043</v>
      </c>
    </row>
    <row r="845" spans="1:6" hidden="1" x14ac:dyDescent="0.25">
      <c r="A845" s="85">
        <v>7553</v>
      </c>
      <c r="B845" s="85">
        <v>7553</v>
      </c>
      <c r="C845" s="84" t="s">
        <v>958</v>
      </c>
      <c r="D845" s="84" t="s">
        <v>1219</v>
      </c>
      <c r="E845" s="84" t="s">
        <v>955</v>
      </c>
      <c r="F845" s="84" t="s">
        <v>1043</v>
      </c>
    </row>
    <row r="846" spans="1:6" hidden="1" x14ac:dyDescent="0.25">
      <c r="A846" s="85">
        <v>7554</v>
      </c>
      <c r="B846" s="85">
        <v>7554</v>
      </c>
      <c r="C846" s="84" t="s">
        <v>958</v>
      </c>
      <c r="D846" s="84" t="s">
        <v>2671</v>
      </c>
      <c r="E846" s="84" t="s">
        <v>955</v>
      </c>
      <c r="F846" s="84" t="s">
        <v>1043</v>
      </c>
    </row>
    <row r="847" spans="1:6" hidden="1" x14ac:dyDescent="0.25">
      <c r="A847" s="85">
        <v>7555</v>
      </c>
      <c r="B847" s="85">
        <v>7555</v>
      </c>
      <c r="C847" s="84" t="s">
        <v>958</v>
      </c>
      <c r="D847" s="84" t="s">
        <v>1220</v>
      </c>
      <c r="E847" s="84" t="s">
        <v>955</v>
      </c>
      <c r="F847" s="84" t="s">
        <v>1043</v>
      </c>
    </row>
    <row r="848" spans="1:6" hidden="1" x14ac:dyDescent="0.25">
      <c r="A848" s="85">
        <v>7556</v>
      </c>
      <c r="B848" s="85">
        <v>7556</v>
      </c>
      <c r="C848" s="84" t="s">
        <v>958</v>
      </c>
      <c r="D848" s="84" t="s">
        <v>1221</v>
      </c>
      <c r="E848" s="84" t="s">
        <v>955</v>
      </c>
      <c r="F848" s="84" t="s">
        <v>1043</v>
      </c>
    </row>
    <row r="849" spans="1:6" hidden="1" x14ac:dyDescent="0.25">
      <c r="A849" s="85">
        <v>7557</v>
      </c>
      <c r="B849" s="85">
        <v>7557</v>
      </c>
      <c r="C849" s="84" t="s">
        <v>958</v>
      </c>
      <c r="D849" s="84" t="s">
        <v>1222</v>
      </c>
      <c r="E849" s="84" t="s">
        <v>955</v>
      </c>
      <c r="F849" s="84" t="s">
        <v>1043</v>
      </c>
    </row>
    <row r="850" spans="1:6" hidden="1" x14ac:dyDescent="0.25">
      <c r="A850" s="85">
        <v>7558</v>
      </c>
      <c r="B850" s="85">
        <v>7558</v>
      </c>
      <c r="C850" s="84" t="s">
        <v>958</v>
      </c>
      <c r="D850" s="84" t="s">
        <v>340</v>
      </c>
      <c r="E850" s="84" t="s">
        <v>955</v>
      </c>
      <c r="F850" s="84" t="s">
        <v>1043</v>
      </c>
    </row>
    <row r="851" spans="1:6" hidden="1" x14ac:dyDescent="0.25">
      <c r="A851" s="85">
        <v>7580</v>
      </c>
      <c r="B851" s="85">
        <v>7580</v>
      </c>
      <c r="C851" s="84" t="s">
        <v>958</v>
      </c>
      <c r="D851" s="84" t="s">
        <v>2672</v>
      </c>
      <c r="E851" s="84" t="s">
        <v>955</v>
      </c>
      <c r="F851" s="84" t="s">
        <v>1043</v>
      </c>
    </row>
    <row r="852" spans="1:6" hidden="1" x14ac:dyDescent="0.25">
      <c r="A852" s="85">
        <v>7581</v>
      </c>
      <c r="B852" s="85">
        <v>7581</v>
      </c>
      <c r="C852" s="84" t="s">
        <v>958</v>
      </c>
      <c r="D852" s="84" t="s">
        <v>2673</v>
      </c>
      <c r="E852" s="84" t="s">
        <v>955</v>
      </c>
      <c r="F852" s="84" t="s">
        <v>1043</v>
      </c>
    </row>
    <row r="853" spans="1:6" hidden="1" x14ac:dyDescent="0.25">
      <c r="A853" s="85">
        <v>7582</v>
      </c>
      <c r="B853" s="85">
        <v>7582</v>
      </c>
      <c r="C853" s="84" t="s">
        <v>958</v>
      </c>
      <c r="D853" s="84" t="s">
        <v>2674</v>
      </c>
      <c r="E853" s="84" t="s">
        <v>955</v>
      </c>
      <c r="F853" s="84" t="s">
        <v>1043</v>
      </c>
    </row>
    <row r="854" spans="1:6" hidden="1" x14ac:dyDescent="0.25">
      <c r="A854" s="85">
        <v>7613</v>
      </c>
      <c r="B854" s="85">
        <v>7613</v>
      </c>
      <c r="C854" s="84" t="s">
        <v>958</v>
      </c>
      <c r="D854" s="84" t="s">
        <v>2675</v>
      </c>
      <c r="E854" s="84" t="s">
        <v>955</v>
      </c>
      <c r="F854" s="84" t="s">
        <v>1043</v>
      </c>
    </row>
    <row r="855" spans="1:6" hidden="1" x14ac:dyDescent="0.25">
      <c r="A855" s="85">
        <v>7621</v>
      </c>
      <c r="B855" s="85">
        <v>7621</v>
      </c>
      <c r="C855" s="84" t="s">
        <v>958</v>
      </c>
      <c r="D855" s="84" t="s">
        <v>405</v>
      </c>
      <c r="E855" s="84" t="s">
        <v>955</v>
      </c>
      <c r="F855" s="84" t="s">
        <v>1043</v>
      </c>
    </row>
    <row r="856" spans="1:6" hidden="1" x14ac:dyDescent="0.25">
      <c r="A856" s="85">
        <v>7622</v>
      </c>
      <c r="B856" s="85">
        <v>7622</v>
      </c>
      <c r="C856" s="84" t="s">
        <v>958</v>
      </c>
      <c r="D856" s="84" t="s">
        <v>406</v>
      </c>
      <c r="E856" s="84" t="s">
        <v>955</v>
      </c>
      <c r="F856" s="84" t="s">
        <v>1043</v>
      </c>
    </row>
    <row r="857" spans="1:6" hidden="1" x14ac:dyDescent="0.25">
      <c r="A857" s="85">
        <v>7623</v>
      </c>
      <c r="B857" s="85">
        <v>7623</v>
      </c>
      <c r="C857" s="84" t="s">
        <v>958</v>
      </c>
      <c r="D857" s="84" t="s">
        <v>1223</v>
      </c>
      <c r="E857" s="84" t="s">
        <v>955</v>
      </c>
      <c r="F857" s="84" t="s">
        <v>1043</v>
      </c>
    </row>
    <row r="858" spans="1:6" hidden="1" x14ac:dyDescent="0.25">
      <c r="A858" s="85">
        <v>7624</v>
      </c>
      <c r="B858" s="85">
        <v>7624</v>
      </c>
      <c r="C858" s="84" t="s">
        <v>958</v>
      </c>
      <c r="D858" s="84" t="s">
        <v>1224</v>
      </c>
      <c r="E858" s="84" t="s">
        <v>955</v>
      </c>
      <c r="F858" s="84" t="s">
        <v>1043</v>
      </c>
    </row>
    <row r="859" spans="1:6" hidden="1" x14ac:dyDescent="0.25">
      <c r="A859" s="85">
        <v>7625</v>
      </c>
      <c r="B859" s="85">
        <v>7625</v>
      </c>
      <c r="C859" s="84" t="s">
        <v>958</v>
      </c>
      <c r="D859" s="84" t="s">
        <v>1225</v>
      </c>
      <c r="E859" s="84" t="s">
        <v>955</v>
      </c>
      <c r="F859" s="84" t="s">
        <v>1043</v>
      </c>
    </row>
    <row r="860" spans="1:6" hidden="1" x14ac:dyDescent="0.25">
      <c r="A860" s="85">
        <v>7626</v>
      </c>
      <c r="B860" s="85">
        <v>7626</v>
      </c>
      <c r="C860" s="84" t="s">
        <v>958</v>
      </c>
      <c r="D860" s="84" t="s">
        <v>2676</v>
      </c>
      <c r="E860" s="84" t="s">
        <v>955</v>
      </c>
      <c r="F860" s="84" t="s">
        <v>1043</v>
      </c>
    </row>
    <row r="861" spans="1:6" hidden="1" x14ac:dyDescent="0.25">
      <c r="A861" s="85">
        <v>7627</v>
      </c>
      <c r="B861" s="85">
        <v>7627</v>
      </c>
      <c r="C861" s="84" t="s">
        <v>958</v>
      </c>
      <c r="D861" s="84" t="s">
        <v>2677</v>
      </c>
      <c r="E861" s="84" t="s">
        <v>955</v>
      </c>
      <c r="F861" s="84" t="s">
        <v>1043</v>
      </c>
    </row>
    <row r="862" spans="1:6" hidden="1" x14ac:dyDescent="0.25">
      <c r="A862" s="85">
        <v>7628</v>
      </c>
      <c r="B862" s="85">
        <v>7628</v>
      </c>
      <c r="C862" s="84" t="s">
        <v>958</v>
      </c>
      <c r="D862" s="84" t="s">
        <v>2678</v>
      </c>
      <c r="E862" s="84" t="s">
        <v>955</v>
      </c>
      <c r="F862" s="84" t="s">
        <v>1043</v>
      </c>
    </row>
    <row r="863" spans="1:6" hidden="1" x14ac:dyDescent="0.25">
      <c r="A863" s="85">
        <v>7629</v>
      </c>
      <c r="B863" s="85">
        <v>7629</v>
      </c>
      <c r="C863" s="84" t="s">
        <v>958</v>
      </c>
      <c r="D863" s="84" t="s">
        <v>2679</v>
      </c>
      <c r="E863" s="84" t="s">
        <v>955</v>
      </c>
      <c r="F863" s="84" t="s">
        <v>1043</v>
      </c>
    </row>
    <row r="864" spans="1:6" hidden="1" x14ac:dyDescent="0.25">
      <c r="A864" s="85">
        <v>7630</v>
      </c>
      <c r="B864" s="85">
        <v>7630</v>
      </c>
      <c r="C864" s="84" t="s">
        <v>958</v>
      </c>
      <c r="D864" s="84" t="s">
        <v>2680</v>
      </c>
      <c r="E864" s="84" t="s">
        <v>955</v>
      </c>
      <c r="F864" s="84" t="s">
        <v>1043</v>
      </c>
    </row>
    <row r="865" spans="1:6" hidden="1" x14ac:dyDescent="0.25">
      <c r="A865" s="85">
        <v>7631</v>
      </c>
      <c r="B865" s="85">
        <v>7631</v>
      </c>
      <c r="C865" s="84" t="s">
        <v>958</v>
      </c>
      <c r="D865" s="84" t="s">
        <v>1231</v>
      </c>
      <c r="E865" s="84" t="s">
        <v>955</v>
      </c>
      <c r="F865" s="84" t="s">
        <v>1043</v>
      </c>
    </row>
    <row r="866" spans="1:6" hidden="1" x14ac:dyDescent="0.25">
      <c r="A866" s="85">
        <v>7633</v>
      </c>
      <c r="B866" s="85">
        <v>7633</v>
      </c>
      <c r="C866" s="84" t="s">
        <v>958</v>
      </c>
      <c r="D866" s="84" t="s">
        <v>407</v>
      </c>
      <c r="E866" s="84" t="s">
        <v>955</v>
      </c>
      <c r="F866" s="84" t="s">
        <v>1043</v>
      </c>
    </row>
    <row r="867" spans="1:6" hidden="1" x14ac:dyDescent="0.25">
      <c r="A867" s="85">
        <v>7642</v>
      </c>
      <c r="B867" s="85">
        <v>7642</v>
      </c>
      <c r="C867" s="84" t="s">
        <v>958</v>
      </c>
      <c r="D867" s="84" t="s">
        <v>2681</v>
      </c>
      <c r="E867" s="84" t="s">
        <v>955</v>
      </c>
      <c r="F867" s="84" t="s">
        <v>1043</v>
      </c>
    </row>
    <row r="868" spans="1:6" hidden="1" x14ac:dyDescent="0.25">
      <c r="A868" s="85">
        <v>7650</v>
      </c>
      <c r="B868" s="85">
        <v>7650</v>
      </c>
      <c r="C868" s="84" t="s">
        <v>958</v>
      </c>
      <c r="D868" s="84" t="s">
        <v>408</v>
      </c>
      <c r="E868" s="84" t="s">
        <v>955</v>
      </c>
      <c r="F868" s="84" t="s">
        <v>1043</v>
      </c>
    </row>
    <row r="869" spans="1:6" hidden="1" x14ac:dyDescent="0.25">
      <c r="A869" s="85">
        <v>7652</v>
      </c>
      <c r="B869" s="85">
        <v>7652</v>
      </c>
      <c r="C869" s="84" t="s">
        <v>958</v>
      </c>
      <c r="D869" s="84" t="s">
        <v>1226</v>
      </c>
      <c r="E869" s="84" t="s">
        <v>955</v>
      </c>
      <c r="F869" s="84" t="s">
        <v>1043</v>
      </c>
    </row>
    <row r="870" spans="1:6" hidden="1" x14ac:dyDescent="0.25">
      <c r="A870" s="85">
        <v>7653</v>
      </c>
      <c r="B870" s="85">
        <v>7653</v>
      </c>
      <c r="C870" s="84" t="s">
        <v>958</v>
      </c>
      <c r="D870" s="84" t="s">
        <v>1227</v>
      </c>
      <c r="E870" s="84" t="s">
        <v>955</v>
      </c>
      <c r="F870" s="84" t="s">
        <v>1043</v>
      </c>
    </row>
    <row r="871" spans="1:6" hidden="1" x14ac:dyDescent="0.25">
      <c r="A871" s="85">
        <v>7654</v>
      </c>
      <c r="B871" s="85">
        <v>7654</v>
      </c>
      <c r="C871" s="84" t="s">
        <v>958</v>
      </c>
      <c r="D871" s="84" t="s">
        <v>409</v>
      </c>
      <c r="E871" s="84" t="s">
        <v>955</v>
      </c>
      <c r="F871" s="84" t="s">
        <v>1043</v>
      </c>
    </row>
    <row r="872" spans="1:6" hidden="1" x14ac:dyDescent="0.25">
      <c r="A872" s="85">
        <v>7655</v>
      </c>
      <c r="B872" s="85">
        <v>7655</v>
      </c>
      <c r="C872" s="84" t="s">
        <v>958</v>
      </c>
      <c r="D872" s="84" t="s">
        <v>2682</v>
      </c>
      <c r="E872" s="84" t="s">
        <v>955</v>
      </c>
      <c r="F872" s="84" t="s">
        <v>1043</v>
      </c>
    </row>
    <row r="873" spans="1:6" hidden="1" x14ac:dyDescent="0.25">
      <c r="A873" s="85">
        <v>7656</v>
      </c>
      <c r="B873" s="85">
        <v>7656</v>
      </c>
      <c r="C873" s="84" t="s">
        <v>958</v>
      </c>
      <c r="D873" s="84" t="s">
        <v>1228</v>
      </c>
      <c r="E873" s="84" t="s">
        <v>955</v>
      </c>
      <c r="F873" s="84" t="s">
        <v>1043</v>
      </c>
    </row>
    <row r="874" spans="1:6" hidden="1" x14ac:dyDescent="0.25">
      <c r="A874" s="85">
        <v>7724</v>
      </c>
      <c r="B874" s="85">
        <v>7724</v>
      </c>
      <c r="C874" s="84" t="s">
        <v>958</v>
      </c>
      <c r="D874" s="84" t="s">
        <v>2683</v>
      </c>
      <c r="E874" s="84" t="s">
        <v>955</v>
      </c>
      <c r="F874" s="84" t="s">
        <v>1043</v>
      </c>
    </row>
    <row r="875" spans="1:6" hidden="1" x14ac:dyDescent="0.25">
      <c r="A875" s="85">
        <v>7725</v>
      </c>
      <c r="B875" s="85">
        <v>7725</v>
      </c>
      <c r="C875" s="84" t="s">
        <v>958</v>
      </c>
      <c r="D875" s="84" t="s">
        <v>2684</v>
      </c>
      <c r="E875" s="84" t="s">
        <v>955</v>
      </c>
      <c r="F875" s="84" t="s">
        <v>1043</v>
      </c>
    </row>
    <row r="876" spans="1:6" hidden="1" x14ac:dyDescent="0.25">
      <c r="A876" s="85">
        <v>7726</v>
      </c>
      <c r="B876" s="85">
        <v>7726</v>
      </c>
      <c r="C876" s="84" t="s">
        <v>958</v>
      </c>
      <c r="D876" s="84" t="s">
        <v>2685</v>
      </c>
      <c r="E876" s="84" t="s">
        <v>955</v>
      </c>
      <c r="F876" s="84" t="s">
        <v>1043</v>
      </c>
    </row>
    <row r="877" spans="1:6" hidden="1" x14ac:dyDescent="0.25">
      <c r="A877" s="85">
        <v>7727</v>
      </c>
      <c r="B877" s="85">
        <v>7727</v>
      </c>
      <c r="C877" s="84" t="s">
        <v>958</v>
      </c>
      <c r="D877" s="84" t="s">
        <v>411</v>
      </c>
      <c r="E877" s="84" t="s">
        <v>955</v>
      </c>
      <c r="F877" s="84" t="s">
        <v>1043</v>
      </c>
    </row>
    <row r="878" spans="1:6" hidden="1" x14ac:dyDescent="0.25">
      <c r="A878" s="85">
        <v>7728</v>
      </c>
      <c r="B878" s="85">
        <v>7728</v>
      </c>
      <c r="C878" s="84" t="s">
        <v>958</v>
      </c>
      <c r="D878" s="84" t="s">
        <v>2686</v>
      </c>
      <c r="E878" s="84" t="s">
        <v>955</v>
      </c>
      <c r="F878" s="84" t="s">
        <v>1043</v>
      </c>
    </row>
    <row r="879" spans="1:6" hidden="1" x14ac:dyDescent="0.25">
      <c r="A879" s="85">
        <v>7729</v>
      </c>
      <c r="B879" s="85">
        <v>7729</v>
      </c>
      <c r="C879" s="84" t="s">
        <v>958</v>
      </c>
      <c r="D879" s="84" t="s">
        <v>2687</v>
      </c>
      <c r="E879" s="84" t="s">
        <v>955</v>
      </c>
      <c r="F879" s="84" t="s">
        <v>1043</v>
      </c>
    </row>
    <row r="880" spans="1:6" hidden="1" x14ac:dyDescent="0.25">
      <c r="A880" s="85">
        <v>7731</v>
      </c>
      <c r="B880" s="85">
        <v>7731</v>
      </c>
      <c r="C880" s="84" t="s">
        <v>958</v>
      </c>
      <c r="D880" s="84" t="s">
        <v>2688</v>
      </c>
      <c r="E880" s="84" t="s">
        <v>955</v>
      </c>
      <c r="F880" s="84" t="s">
        <v>1043</v>
      </c>
    </row>
    <row r="881" spans="1:6" hidden="1" x14ac:dyDescent="0.25">
      <c r="A881" s="85">
        <v>7732</v>
      </c>
      <c r="B881" s="85">
        <v>7732</v>
      </c>
      <c r="C881" s="84" t="s">
        <v>958</v>
      </c>
      <c r="D881" s="84" t="s">
        <v>2689</v>
      </c>
      <c r="E881" s="84" t="s">
        <v>955</v>
      </c>
      <c r="F881" s="84" t="s">
        <v>1043</v>
      </c>
    </row>
    <row r="882" spans="1:6" hidden="1" x14ac:dyDescent="0.25">
      <c r="A882" s="85">
        <v>7733</v>
      </c>
      <c r="B882" s="85">
        <v>7733</v>
      </c>
      <c r="C882" s="84" t="s">
        <v>958</v>
      </c>
      <c r="D882" s="84" t="s">
        <v>2690</v>
      </c>
      <c r="E882" s="84" t="s">
        <v>955</v>
      </c>
      <c r="F882" s="84" t="s">
        <v>1043</v>
      </c>
    </row>
    <row r="883" spans="1:6" hidden="1" x14ac:dyDescent="0.25">
      <c r="A883" s="85">
        <v>7734</v>
      </c>
      <c r="B883" s="85">
        <v>7734</v>
      </c>
      <c r="C883" s="84" t="s">
        <v>958</v>
      </c>
      <c r="D883" s="84" t="s">
        <v>412</v>
      </c>
      <c r="E883" s="84" t="s">
        <v>955</v>
      </c>
      <c r="F883" s="84" t="s">
        <v>1043</v>
      </c>
    </row>
    <row r="884" spans="1:6" hidden="1" x14ac:dyDescent="0.25">
      <c r="A884" s="85">
        <v>7735</v>
      </c>
      <c r="B884" s="85">
        <v>7735</v>
      </c>
      <c r="C884" s="84" t="s">
        <v>958</v>
      </c>
      <c r="D884" s="84" t="s">
        <v>2691</v>
      </c>
      <c r="E884" s="84" t="s">
        <v>955</v>
      </c>
      <c r="F884" s="84" t="s">
        <v>1043</v>
      </c>
    </row>
    <row r="885" spans="1:6" hidden="1" x14ac:dyDescent="0.25">
      <c r="A885" s="85">
        <v>7736</v>
      </c>
      <c r="B885" s="85">
        <v>7736</v>
      </c>
      <c r="C885" s="84" t="s">
        <v>958</v>
      </c>
      <c r="D885" s="84" t="s">
        <v>2692</v>
      </c>
      <c r="E885" s="84" t="s">
        <v>955</v>
      </c>
      <c r="F885" s="84" t="s">
        <v>1043</v>
      </c>
    </row>
    <row r="886" spans="1:6" hidden="1" x14ac:dyDescent="0.25">
      <c r="A886" s="85">
        <v>7737</v>
      </c>
      <c r="B886" s="85">
        <v>7737</v>
      </c>
      <c r="C886" s="84" t="s">
        <v>958</v>
      </c>
      <c r="D886" s="84" t="s">
        <v>2693</v>
      </c>
      <c r="E886" s="84" t="s">
        <v>955</v>
      </c>
      <c r="F886" s="84" t="s">
        <v>1043</v>
      </c>
    </row>
    <row r="887" spans="1:6" hidden="1" x14ac:dyDescent="0.25">
      <c r="A887" s="85">
        <v>7740</v>
      </c>
      <c r="B887" s="85">
        <v>7740</v>
      </c>
      <c r="C887" s="84" t="s">
        <v>958</v>
      </c>
      <c r="D887" s="84" t="s">
        <v>413</v>
      </c>
      <c r="E887" s="84" t="s">
        <v>955</v>
      </c>
      <c r="F887" s="84" t="s">
        <v>1043</v>
      </c>
    </row>
    <row r="888" spans="1:6" hidden="1" x14ac:dyDescent="0.25">
      <c r="A888" s="85">
        <v>7741</v>
      </c>
      <c r="B888" s="85">
        <v>7741</v>
      </c>
      <c r="C888" s="84" t="s">
        <v>958</v>
      </c>
      <c r="D888" s="84" t="s">
        <v>414</v>
      </c>
      <c r="E888" s="84" t="s">
        <v>955</v>
      </c>
      <c r="F888" s="84" t="s">
        <v>1043</v>
      </c>
    </row>
    <row r="889" spans="1:6" hidden="1" x14ac:dyDescent="0.25">
      <c r="A889" s="85">
        <v>7742</v>
      </c>
      <c r="B889" s="85">
        <v>7742</v>
      </c>
      <c r="C889" s="84" t="s">
        <v>958</v>
      </c>
      <c r="D889" s="84" t="s">
        <v>1229</v>
      </c>
      <c r="E889" s="84" t="s">
        <v>955</v>
      </c>
      <c r="F889" s="84" t="s">
        <v>1043</v>
      </c>
    </row>
    <row r="890" spans="1:6" hidden="1" x14ac:dyDescent="0.25">
      <c r="A890" s="85">
        <v>7755</v>
      </c>
      <c r="B890" s="85">
        <v>7755</v>
      </c>
      <c r="C890" s="84" t="s">
        <v>958</v>
      </c>
      <c r="D890" s="84" t="s">
        <v>2694</v>
      </c>
      <c r="E890" s="84" t="s">
        <v>955</v>
      </c>
      <c r="F890" s="84" t="s">
        <v>1043</v>
      </c>
    </row>
    <row r="891" spans="1:6" hidden="1" x14ac:dyDescent="0.25">
      <c r="A891" s="85">
        <v>7760</v>
      </c>
      <c r="B891" s="85">
        <v>7760</v>
      </c>
      <c r="C891" s="84" t="s">
        <v>958</v>
      </c>
      <c r="D891" s="84" t="s">
        <v>2695</v>
      </c>
      <c r="E891" s="84" t="s">
        <v>955</v>
      </c>
      <c r="F891" s="84" t="s">
        <v>1043</v>
      </c>
    </row>
    <row r="892" spans="1:6" hidden="1" x14ac:dyDescent="0.25">
      <c r="A892" s="85">
        <v>7761</v>
      </c>
      <c r="B892" s="85">
        <v>7761</v>
      </c>
      <c r="C892" s="84" t="s">
        <v>958</v>
      </c>
      <c r="D892" s="84" t="s">
        <v>2696</v>
      </c>
      <c r="E892" s="84" t="s">
        <v>955</v>
      </c>
      <c r="F892" s="84" t="s">
        <v>1043</v>
      </c>
    </row>
    <row r="893" spans="1:6" hidden="1" x14ac:dyDescent="0.25">
      <c r="A893" s="85">
        <v>7762</v>
      </c>
      <c r="B893" s="85">
        <v>7762</v>
      </c>
      <c r="C893" s="84" t="s">
        <v>958</v>
      </c>
      <c r="D893" s="84" t="s">
        <v>2697</v>
      </c>
      <c r="E893" s="84" t="s">
        <v>955</v>
      </c>
      <c r="F893" s="84" t="s">
        <v>1043</v>
      </c>
    </row>
    <row r="894" spans="1:6" hidden="1" x14ac:dyDescent="0.25">
      <c r="A894" s="85">
        <v>7763</v>
      </c>
      <c r="B894" s="85">
        <v>7763</v>
      </c>
      <c r="C894" s="84" t="s">
        <v>958</v>
      </c>
      <c r="D894" s="84" t="s">
        <v>2698</v>
      </c>
      <c r="E894" s="84" t="s">
        <v>955</v>
      </c>
      <c r="F894" s="84" t="s">
        <v>1043</v>
      </c>
    </row>
    <row r="895" spans="1:6" hidden="1" x14ac:dyDescent="0.25">
      <c r="A895" s="85">
        <v>7764</v>
      </c>
      <c r="B895" s="85">
        <v>7764</v>
      </c>
      <c r="C895" s="84" t="s">
        <v>958</v>
      </c>
      <c r="D895" s="84" t="s">
        <v>1230</v>
      </c>
      <c r="E895" s="84" t="s">
        <v>955</v>
      </c>
      <c r="F895" s="84" t="s">
        <v>1043</v>
      </c>
    </row>
    <row r="896" spans="1:6" hidden="1" x14ac:dyDescent="0.25">
      <c r="A896" s="85">
        <v>7765</v>
      </c>
      <c r="B896" s="85">
        <v>7765</v>
      </c>
      <c r="C896" s="84" t="s">
        <v>958</v>
      </c>
      <c r="D896" s="84" t="s">
        <v>340</v>
      </c>
      <c r="E896" s="84" t="s">
        <v>955</v>
      </c>
      <c r="F896" s="84" t="s">
        <v>1043</v>
      </c>
    </row>
    <row r="897" spans="1:6" hidden="1" x14ac:dyDescent="0.25">
      <c r="A897" s="85">
        <v>7766</v>
      </c>
      <c r="B897" s="85">
        <v>7766</v>
      </c>
      <c r="C897" s="84" t="s">
        <v>958</v>
      </c>
      <c r="D897" s="84" t="s">
        <v>2699</v>
      </c>
      <c r="E897" s="84" t="s">
        <v>955</v>
      </c>
      <c r="F897" s="84" t="s">
        <v>1043</v>
      </c>
    </row>
    <row r="898" spans="1:6" hidden="1" x14ac:dyDescent="0.25">
      <c r="A898" s="85">
        <v>7767</v>
      </c>
      <c r="B898" s="85">
        <v>7767</v>
      </c>
      <c r="C898" s="84" t="s">
        <v>958</v>
      </c>
      <c r="D898" s="84" t="s">
        <v>2700</v>
      </c>
      <c r="E898" s="84" t="s">
        <v>955</v>
      </c>
      <c r="F898" s="84" t="s">
        <v>1043</v>
      </c>
    </row>
    <row r="899" spans="1:6" hidden="1" x14ac:dyDescent="0.25">
      <c r="A899" s="85">
        <v>7768</v>
      </c>
      <c r="B899" s="85">
        <v>7768</v>
      </c>
      <c r="C899" s="84" t="s">
        <v>958</v>
      </c>
      <c r="D899" s="84" t="s">
        <v>2701</v>
      </c>
      <c r="E899" s="84" t="s">
        <v>955</v>
      </c>
      <c r="F899" s="84" t="s">
        <v>1043</v>
      </c>
    </row>
    <row r="900" spans="1:6" hidden="1" x14ac:dyDescent="0.25">
      <c r="A900" s="85">
        <v>7769</v>
      </c>
      <c r="B900" s="85">
        <v>7769</v>
      </c>
      <c r="C900" s="84" t="s">
        <v>958</v>
      </c>
      <c r="D900" s="84" t="s">
        <v>2702</v>
      </c>
      <c r="E900" s="84" t="s">
        <v>955</v>
      </c>
      <c r="F900" s="84" t="s">
        <v>1043</v>
      </c>
    </row>
    <row r="901" spans="1:6" hidden="1" x14ac:dyDescent="0.25">
      <c r="A901" s="85">
        <v>7770</v>
      </c>
      <c r="B901" s="85">
        <v>7770</v>
      </c>
      <c r="C901" s="84" t="s">
        <v>958</v>
      </c>
      <c r="D901" s="84" t="s">
        <v>2703</v>
      </c>
      <c r="E901" s="84" t="s">
        <v>955</v>
      </c>
      <c r="F901" s="84" t="s">
        <v>1043</v>
      </c>
    </row>
    <row r="902" spans="1:6" hidden="1" x14ac:dyDescent="0.25">
      <c r="A902" s="85">
        <v>7771</v>
      </c>
      <c r="B902" s="85">
        <v>7771</v>
      </c>
      <c r="C902" s="84" t="s">
        <v>958</v>
      </c>
      <c r="D902" s="84" t="s">
        <v>2704</v>
      </c>
      <c r="E902" s="84" t="s">
        <v>955</v>
      </c>
      <c r="F902" s="84" t="s">
        <v>1043</v>
      </c>
    </row>
    <row r="903" spans="1:6" hidden="1" x14ac:dyDescent="0.25">
      <c r="A903" s="85">
        <v>7772</v>
      </c>
      <c r="B903" s="85">
        <v>7772</v>
      </c>
      <c r="C903" s="84" t="s">
        <v>958</v>
      </c>
      <c r="D903" s="84" t="s">
        <v>2705</v>
      </c>
      <c r="E903" s="84" t="s">
        <v>955</v>
      </c>
      <c r="F903" s="84" t="s">
        <v>1043</v>
      </c>
    </row>
    <row r="904" spans="1:6" hidden="1" x14ac:dyDescent="0.25">
      <c r="A904" s="85">
        <v>7773</v>
      </c>
      <c r="B904" s="85">
        <v>7773</v>
      </c>
      <c r="C904" s="84" t="s">
        <v>958</v>
      </c>
      <c r="D904" s="84" t="s">
        <v>2706</v>
      </c>
      <c r="E904" s="84" t="s">
        <v>955</v>
      </c>
      <c r="F904" s="84" t="s">
        <v>1043</v>
      </c>
    </row>
    <row r="905" spans="1:6" hidden="1" x14ac:dyDescent="0.25">
      <c r="A905" s="85">
        <v>7774</v>
      </c>
      <c r="B905" s="85">
        <v>7774</v>
      </c>
      <c r="C905" s="84" t="s">
        <v>958</v>
      </c>
      <c r="D905" s="84" t="s">
        <v>2707</v>
      </c>
      <c r="E905" s="84" t="s">
        <v>955</v>
      </c>
      <c r="F905" s="84" t="s">
        <v>1043</v>
      </c>
    </row>
    <row r="906" spans="1:6" hidden="1" x14ac:dyDescent="0.25">
      <c r="A906" s="85">
        <v>7775</v>
      </c>
      <c r="B906" s="85">
        <v>7775</v>
      </c>
      <c r="C906" s="84" t="s">
        <v>958</v>
      </c>
      <c r="D906" s="84" t="s">
        <v>2708</v>
      </c>
      <c r="E906" s="84" t="s">
        <v>955</v>
      </c>
      <c r="F906" s="84" t="s">
        <v>1043</v>
      </c>
    </row>
    <row r="907" spans="1:6" hidden="1" x14ac:dyDescent="0.25">
      <c r="A907" s="85">
        <v>7776</v>
      </c>
      <c r="B907" s="85">
        <v>7776</v>
      </c>
      <c r="C907" s="84" t="s">
        <v>958</v>
      </c>
      <c r="D907" s="84" t="s">
        <v>2709</v>
      </c>
      <c r="E907" s="84" t="s">
        <v>955</v>
      </c>
      <c r="F907" s="84" t="s">
        <v>1043</v>
      </c>
    </row>
    <row r="908" spans="1:6" hidden="1" x14ac:dyDescent="0.25">
      <c r="A908" s="85">
        <v>7777</v>
      </c>
      <c r="B908" s="85">
        <v>7777</v>
      </c>
      <c r="C908" s="84" t="s">
        <v>958</v>
      </c>
      <c r="D908" s="84" t="s">
        <v>2710</v>
      </c>
      <c r="E908" s="84" t="s">
        <v>955</v>
      </c>
      <c r="F908" s="84" t="s">
        <v>1043</v>
      </c>
    </row>
    <row r="909" spans="1:6" hidden="1" x14ac:dyDescent="0.25">
      <c r="A909" s="85">
        <v>7778</v>
      </c>
      <c r="B909" s="85">
        <v>7778</v>
      </c>
      <c r="C909" s="84" t="s">
        <v>958</v>
      </c>
      <c r="D909" s="84" t="s">
        <v>2711</v>
      </c>
      <c r="E909" s="84" t="s">
        <v>955</v>
      </c>
      <c r="F909" s="84" t="s">
        <v>1043</v>
      </c>
    </row>
    <row r="910" spans="1:6" hidden="1" x14ac:dyDescent="0.25">
      <c r="A910" s="85">
        <v>7792</v>
      </c>
      <c r="B910" s="85">
        <v>7792</v>
      </c>
      <c r="C910" s="84" t="s">
        <v>958</v>
      </c>
      <c r="D910" s="84" t="s">
        <v>415</v>
      </c>
      <c r="E910" s="84" t="s">
        <v>955</v>
      </c>
      <c r="F910" s="84" t="s">
        <v>1043</v>
      </c>
    </row>
    <row r="911" spans="1:6" hidden="1" x14ac:dyDescent="0.25">
      <c r="A911" s="85">
        <v>7793</v>
      </c>
      <c r="B911" s="85">
        <v>7793</v>
      </c>
      <c r="C911" s="84" t="s">
        <v>958</v>
      </c>
      <c r="D911" s="84" t="s">
        <v>1231</v>
      </c>
      <c r="E911" s="84" t="s">
        <v>955</v>
      </c>
      <c r="F911" s="84" t="s">
        <v>1043</v>
      </c>
    </row>
    <row r="912" spans="1:6" hidden="1" x14ac:dyDescent="0.25">
      <c r="A912" s="85">
        <v>7798</v>
      </c>
      <c r="B912" s="85">
        <v>7798</v>
      </c>
      <c r="C912" s="84" t="s">
        <v>958</v>
      </c>
      <c r="D912" s="84" t="s">
        <v>1232</v>
      </c>
      <c r="E912" s="84" t="s">
        <v>955</v>
      </c>
      <c r="F912" s="84" t="s">
        <v>1043</v>
      </c>
    </row>
    <row r="913" spans="1:6" hidden="1" x14ac:dyDescent="0.25">
      <c r="A913" s="85">
        <v>7815</v>
      </c>
      <c r="B913" s="85">
        <v>7815</v>
      </c>
      <c r="C913" s="84" t="s">
        <v>958</v>
      </c>
      <c r="D913" s="84" t="s">
        <v>2712</v>
      </c>
      <c r="E913" s="84" t="s">
        <v>955</v>
      </c>
      <c r="F913" s="84" t="s">
        <v>1043</v>
      </c>
    </row>
    <row r="914" spans="1:6" hidden="1" x14ac:dyDescent="0.25">
      <c r="A914" s="85">
        <v>7849</v>
      </c>
      <c r="B914" s="85">
        <v>7849</v>
      </c>
      <c r="C914" s="84" t="s">
        <v>958</v>
      </c>
      <c r="D914" s="84" t="s">
        <v>2713</v>
      </c>
      <c r="E914" s="84" t="s">
        <v>955</v>
      </c>
      <c r="F914" s="84" t="s">
        <v>1043</v>
      </c>
    </row>
    <row r="915" spans="1:6" hidden="1" x14ac:dyDescent="0.25">
      <c r="A915" s="85">
        <v>7850</v>
      </c>
      <c r="B915" s="85">
        <v>7850</v>
      </c>
      <c r="C915" s="84" t="s">
        <v>958</v>
      </c>
      <c r="D915" s="84" t="s">
        <v>2714</v>
      </c>
      <c r="E915" s="84" t="s">
        <v>955</v>
      </c>
      <c r="F915" s="84" t="s">
        <v>1043</v>
      </c>
    </row>
    <row r="916" spans="1:6" hidden="1" x14ac:dyDescent="0.25">
      <c r="A916" s="85">
        <v>7851</v>
      </c>
      <c r="B916" s="85">
        <v>7851</v>
      </c>
      <c r="C916" s="84" t="s">
        <v>958</v>
      </c>
      <c r="D916" s="84" t="s">
        <v>2715</v>
      </c>
      <c r="E916" s="84" t="s">
        <v>955</v>
      </c>
      <c r="F916" s="84" t="s">
        <v>1043</v>
      </c>
    </row>
    <row r="917" spans="1:6" hidden="1" x14ac:dyDescent="0.25">
      <c r="A917" s="85">
        <v>7855</v>
      </c>
      <c r="B917" s="85">
        <v>7855</v>
      </c>
      <c r="C917" s="84" t="s">
        <v>958</v>
      </c>
      <c r="D917" s="84" t="s">
        <v>2716</v>
      </c>
      <c r="E917" s="84" t="s">
        <v>955</v>
      </c>
      <c r="F917" s="84" t="s">
        <v>1043</v>
      </c>
    </row>
    <row r="918" spans="1:6" hidden="1" x14ac:dyDescent="0.25">
      <c r="A918" s="85">
        <v>7880</v>
      </c>
      <c r="B918" s="85">
        <v>7880</v>
      </c>
      <c r="C918" s="84" t="s">
        <v>958</v>
      </c>
      <c r="D918" s="84" t="s">
        <v>2717</v>
      </c>
      <c r="E918" s="84" t="s">
        <v>955</v>
      </c>
      <c r="F918" s="84" t="s">
        <v>1043</v>
      </c>
    </row>
    <row r="919" spans="1:6" hidden="1" x14ac:dyDescent="0.25">
      <c r="A919" s="85">
        <v>7881</v>
      </c>
      <c r="B919" s="85">
        <v>7881</v>
      </c>
      <c r="C919" s="84" t="s">
        <v>958</v>
      </c>
      <c r="D919" s="84" t="s">
        <v>2718</v>
      </c>
      <c r="E919" s="84" t="s">
        <v>955</v>
      </c>
      <c r="F919" s="84" t="s">
        <v>1043</v>
      </c>
    </row>
    <row r="920" spans="1:6" hidden="1" x14ac:dyDescent="0.25">
      <c r="A920" s="85">
        <v>7882</v>
      </c>
      <c r="B920" s="85">
        <v>7882</v>
      </c>
      <c r="C920" s="84" t="s">
        <v>958</v>
      </c>
      <c r="D920" s="84" t="s">
        <v>2719</v>
      </c>
      <c r="E920" s="84" t="s">
        <v>955</v>
      </c>
      <c r="F920" s="84" t="s">
        <v>1043</v>
      </c>
    </row>
    <row r="921" spans="1:6" hidden="1" x14ac:dyDescent="0.25">
      <c r="A921" s="85">
        <v>7890</v>
      </c>
      <c r="B921" s="85">
        <v>7890</v>
      </c>
      <c r="C921" s="84" t="s">
        <v>958</v>
      </c>
      <c r="D921" s="84" t="s">
        <v>2720</v>
      </c>
      <c r="E921" s="84" t="s">
        <v>955</v>
      </c>
      <c r="F921" s="84" t="s">
        <v>1043</v>
      </c>
    </row>
    <row r="922" spans="1:6" hidden="1" x14ac:dyDescent="0.25">
      <c r="A922" s="85">
        <v>7891</v>
      </c>
      <c r="B922" s="85">
        <v>7891</v>
      </c>
      <c r="C922" s="84" t="s">
        <v>958</v>
      </c>
      <c r="D922" s="84" t="s">
        <v>2721</v>
      </c>
      <c r="E922" s="84" t="s">
        <v>955</v>
      </c>
      <c r="F922" s="84" t="s">
        <v>1043</v>
      </c>
    </row>
    <row r="923" spans="1:6" hidden="1" x14ac:dyDescent="0.25">
      <c r="A923" s="85">
        <v>7892</v>
      </c>
      <c r="B923" s="85">
        <v>7892</v>
      </c>
      <c r="C923" s="84" t="s">
        <v>958</v>
      </c>
      <c r="D923" s="84" t="s">
        <v>2722</v>
      </c>
      <c r="E923" s="84" t="s">
        <v>955</v>
      </c>
      <c r="F923" s="84" t="s">
        <v>1043</v>
      </c>
    </row>
    <row r="924" spans="1:6" hidden="1" x14ac:dyDescent="0.25">
      <c r="A924" s="85">
        <v>7901</v>
      </c>
      <c r="B924" s="85">
        <v>7901</v>
      </c>
      <c r="C924" s="84" t="s">
        <v>958</v>
      </c>
      <c r="D924" s="84" t="s">
        <v>2723</v>
      </c>
      <c r="E924" s="84" t="s">
        <v>955</v>
      </c>
      <c r="F924" s="84" t="s">
        <v>1043</v>
      </c>
    </row>
    <row r="925" spans="1:6" hidden="1" x14ac:dyDescent="0.25">
      <c r="A925" s="85">
        <v>7903</v>
      </c>
      <c r="B925" s="85">
        <v>7903</v>
      </c>
      <c r="C925" s="84" t="s">
        <v>958</v>
      </c>
      <c r="D925" s="84" t="s">
        <v>1233</v>
      </c>
      <c r="E925" s="84" t="s">
        <v>955</v>
      </c>
      <c r="F925" s="84" t="s">
        <v>1043</v>
      </c>
    </row>
    <row r="926" spans="1:6" hidden="1" x14ac:dyDescent="0.25">
      <c r="A926" s="85">
        <v>7904</v>
      </c>
      <c r="B926" s="85">
        <v>7904</v>
      </c>
      <c r="C926" s="84" t="s">
        <v>958</v>
      </c>
      <c r="D926" s="84" t="s">
        <v>2724</v>
      </c>
      <c r="E926" s="84" t="s">
        <v>955</v>
      </c>
      <c r="F926" s="84" t="s">
        <v>1043</v>
      </c>
    </row>
    <row r="927" spans="1:6" hidden="1" x14ac:dyDescent="0.25">
      <c r="A927" s="85">
        <v>7905</v>
      </c>
      <c r="B927" s="85">
        <v>7905</v>
      </c>
      <c r="C927" s="84" t="s">
        <v>958</v>
      </c>
      <c r="D927" s="84" t="s">
        <v>2725</v>
      </c>
      <c r="E927" s="84" t="s">
        <v>955</v>
      </c>
      <c r="F927" s="84" t="s">
        <v>1043</v>
      </c>
    </row>
    <row r="928" spans="1:6" hidden="1" x14ac:dyDescent="0.25">
      <c r="A928" s="85">
        <v>7910</v>
      </c>
      <c r="B928" s="85">
        <v>7910</v>
      </c>
      <c r="C928" s="84" t="s">
        <v>958</v>
      </c>
      <c r="D928" s="84" t="s">
        <v>1234</v>
      </c>
      <c r="E928" s="84" t="s">
        <v>955</v>
      </c>
      <c r="F928" s="84" t="s">
        <v>1043</v>
      </c>
    </row>
    <row r="929" spans="1:6" hidden="1" x14ac:dyDescent="0.25">
      <c r="A929" s="85">
        <v>7911</v>
      </c>
      <c r="B929" s="85">
        <v>7911</v>
      </c>
      <c r="C929" s="84" t="s">
        <v>958</v>
      </c>
      <c r="D929" s="84" t="s">
        <v>1235</v>
      </c>
      <c r="E929" s="84" t="s">
        <v>955</v>
      </c>
      <c r="F929" s="84" t="s">
        <v>1043</v>
      </c>
    </row>
    <row r="930" spans="1:6" hidden="1" x14ac:dyDescent="0.25">
      <c r="A930" s="85">
        <v>7912</v>
      </c>
      <c r="B930" s="85">
        <v>7912</v>
      </c>
      <c r="C930" s="84" t="s">
        <v>958</v>
      </c>
      <c r="D930" s="84" t="s">
        <v>1236</v>
      </c>
      <c r="E930" s="84" t="s">
        <v>955</v>
      </c>
      <c r="F930" s="84" t="s">
        <v>1043</v>
      </c>
    </row>
    <row r="931" spans="1:6" hidden="1" x14ac:dyDescent="0.25">
      <c r="A931" s="85">
        <v>7913</v>
      </c>
      <c r="B931" s="85">
        <v>7913</v>
      </c>
      <c r="C931" s="84" t="s">
        <v>958</v>
      </c>
      <c r="D931" s="84" t="s">
        <v>1237</v>
      </c>
      <c r="E931" s="84" t="s">
        <v>955</v>
      </c>
      <c r="F931" s="84" t="s">
        <v>1043</v>
      </c>
    </row>
    <row r="932" spans="1:6" hidden="1" x14ac:dyDescent="0.25">
      <c r="A932" s="85">
        <v>7914</v>
      </c>
      <c r="B932" s="85">
        <v>7914</v>
      </c>
      <c r="C932" s="84" t="s">
        <v>958</v>
      </c>
      <c r="D932" s="84" t="s">
        <v>2726</v>
      </c>
      <c r="E932" s="84" t="s">
        <v>955</v>
      </c>
      <c r="F932" s="84" t="s">
        <v>1043</v>
      </c>
    </row>
    <row r="933" spans="1:6" hidden="1" x14ac:dyDescent="0.25">
      <c r="A933" s="85">
        <v>7915</v>
      </c>
      <c r="B933" s="85">
        <v>7915</v>
      </c>
      <c r="C933" s="84" t="s">
        <v>958</v>
      </c>
      <c r="D933" s="84" t="s">
        <v>2727</v>
      </c>
      <c r="E933" s="84" t="s">
        <v>955</v>
      </c>
      <c r="F933" s="84" t="s">
        <v>1043</v>
      </c>
    </row>
    <row r="934" spans="1:6" hidden="1" x14ac:dyDescent="0.25">
      <c r="A934" s="85">
        <v>7916</v>
      </c>
      <c r="B934" s="85">
        <v>7916</v>
      </c>
      <c r="C934" s="84" t="s">
        <v>958</v>
      </c>
      <c r="D934" s="84" t="s">
        <v>2728</v>
      </c>
      <c r="E934" s="84" t="s">
        <v>955</v>
      </c>
      <c r="F934" s="84" t="s">
        <v>1043</v>
      </c>
    </row>
    <row r="935" spans="1:6" hidden="1" x14ac:dyDescent="0.25">
      <c r="A935" s="85">
        <v>7917</v>
      </c>
      <c r="B935" s="85">
        <v>7917</v>
      </c>
      <c r="C935" s="84" t="s">
        <v>958</v>
      </c>
      <c r="D935" s="84" t="s">
        <v>2729</v>
      </c>
      <c r="E935" s="84" t="s">
        <v>955</v>
      </c>
      <c r="F935" s="84" t="s">
        <v>1043</v>
      </c>
    </row>
    <row r="936" spans="1:6" hidden="1" x14ac:dyDescent="0.25">
      <c r="A936" s="85">
        <v>7918</v>
      </c>
      <c r="B936" s="85">
        <v>7918</v>
      </c>
      <c r="C936" s="84" t="s">
        <v>958</v>
      </c>
      <c r="D936" s="84" t="s">
        <v>1238</v>
      </c>
      <c r="E936" s="84" t="s">
        <v>955</v>
      </c>
      <c r="F936" s="84" t="s">
        <v>1043</v>
      </c>
    </row>
    <row r="937" spans="1:6" hidden="1" x14ac:dyDescent="0.25">
      <c r="A937" s="85">
        <v>7919</v>
      </c>
      <c r="B937" s="85">
        <v>7919</v>
      </c>
      <c r="C937" s="84" t="s">
        <v>958</v>
      </c>
      <c r="D937" s="84" t="s">
        <v>2730</v>
      </c>
      <c r="E937" s="84" t="s">
        <v>955</v>
      </c>
      <c r="F937" s="84" t="s">
        <v>1043</v>
      </c>
    </row>
    <row r="938" spans="1:6" hidden="1" x14ac:dyDescent="0.25">
      <c r="A938" s="85">
        <v>7920</v>
      </c>
      <c r="B938" s="85">
        <v>7920</v>
      </c>
      <c r="C938" s="84" t="s">
        <v>958</v>
      </c>
      <c r="D938" s="84" t="s">
        <v>2731</v>
      </c>
      <c r="E938" s="84" t="s">
        <v>955</v>
      </c>
      <c r="F938" s="84" t="s">
        <v>1043</v>
      </c>
    </row>
    <row r="939" spans="1:6" hidden="1" x14ac:dyDescent="0.25">
      <c r="A939" s="85">
        <v>7921</v>
      </c>
      <c r="B939" s="85">
        <v>7921</v>
      </c>
      <c r="C939" s="84" t="s">
        <v>958</v>
      </c>
      <c r="D939" s="84" t="s">
        <v>2732</v>
      </c>
      <c r="E939" s="84" t="s">
        <v>955</v>
      </c>
      <c r="F939" s="84" t="s">
        <v>1043</v>
      </c>
    </row>
    <row r="940" spans="1:6" hidden="1" x14ac:dyDescent="0.25">
      <c r="A940" s="85">
        <v>7922</v>
      </c>
      <c r="B940" s="85">
        <v>7922</v>
      </c>
      <c r="C940" s="84" t="s">
        <v>958</v>
      </c>
      <c r="D940" s="84" t="s">
        <v>1239</v>
      </c>
      <c r="E940" s="84" t="s">
        <v>955</v>
      </c>
      <c r="F940" s="84" t="s">
        <v>1043</v>
      </c>
    </row>
    <row r="941" spans="1:6" hidden="1" x14ac:dyDescent="0.25">
      <c r="A941" s="85">
        <v>7923</v>
      </c>
      <c r="B941" s="85">
        <v>7923</v>
      </c>
      <c r="C941" s="84" t="s">
        <v>958</v>
      </c>
      <c r="D941" s="84" t="s">
        <v>2733</v>
      </c>
      <c r="E941" s="84" t="s">
        <v>955</v>
      </c>
      <c r="F941" s="84" t="s">
        <v>1043</v>
      </c>
    </row>
    <row r="942" spans="1:6" hidden="1" x14ac:dyDescent="0.25">
      <c r="A942" s="85">
        <v>7924</v>
      </c>
      <c r="B942" s="85">
        <v>7924</v>
      </c>
      <c r="C942" s="84" t="s">
        <v>958</v>
      </c>
      <c r="D942" s="84" t="s">
        <v>2734</v>
      </c>
      <c r="E942" s="84" t="s">
        <v>955</v>
      </c>
      <c r="F942" s="84" t="s">
        <v>1043</v>
      </c>
    </row>
    <row r="943" spans="1:6" hidden="1" x14ac:dyDescent="0.25">
      <c r="A943" s="85">
        <v>7925</v>
      </c>
      <c r="B943" s="85">
        <v>7925</v>
      </c>
      <c r="C943" s="84" t="s">
        <v>958</v>
      </c>
      <c r="D943" s="84" t="s">
        <v>2735</v>
      </c>
      <c r="E943" s="84" t="s">
        <v>955</v>
      </c>
      <c r="F943" s="84" t="s">
        <v>1043</v>
      </c>
    </row>
    <row r="944" spans="1:6" hidden="1" x14ac:dyDescent="0.25">
      <c r="A944" s="85">
        <v>7926</v>
      </c>
      <c r="B944" s="85">
        <v>7926</v>
      </c>
      <c r="C944" s="84" t="s">
        <v>958</v>
      </c>
      <c r="D944" s="84" t="s">
        <v>2736</v>
      </c>
      <c r="E944" s="84" t="s">
        <v>955</v>
      </c>
      <c r="F944" s="84" t="s">
        <v>1043</v>
      </c>
    </row>
    <row r="945" spans="1:6" hidden="1" x14ac:dyDescent="0.25">
      <c r="A945" s="85">
        <v>7927</v>
      </c>
      <c r="B945" s="85">
        <v>7927</v>
      </c>
      <c r="C945" s="84" t="s">
        <v>958</v>
      </c>
      <c r="D945" s="84" t="s">
        <v>2737</v>
      </c>
      <c r="E945" s="84" t="s">
        <v>955</v>
      </c>
      <c r="F945" s="84" t="s">
        <v>1043</v>
      </c>
    </row>
    <row r="946" spans="1:6" hidden="1" x14ac:dyDescent="0.25">
      <c r="A946" s="85">
        <v>7928</v>
      </c>
      <c r="B946" s="85">
        <v>7928</v>
      </c>
      <c r="C946" s="84" t="s">
        <v>958</v>
      </c>
      <c r="D946" s="84" t="s">
        <v>2738</v>
      </c>
      <c r="E946" s="84" t="s">
        <v>955</v>
      </c>
      <c r="F946" s="84" t="s">
        <v>1043</v>
      </c>
    </row>
    <row r="947" spans="1:6" hidden="1" x14ac:dyDescent="0.25">
      <c r="A947" s="85">
        <v>7940</v>
      </c>
      <c r="B947" s="85">
        <v>7940</v>
      </c>
      <c r="C947" s="84" t="s">
        <v>958</v>
      </c>
      <c r="D947" s="84" t="s">
        <v>2739</v>
      </c>
      <c r="E947" s="84" t="s">
        <v>955</v>
      </c>
      <c r="F947" s="84" t="s">
        <v>1043</v>
      </c>
    </row>
    <row r="948" spans="1:6" hidden="1" x14ac:dyDescent="0.25">
      <c r="A948" s="85">
        <v>7941</v>
      </c>
      <c r="B948" s="85">
        <v>7941</v>
      </c>
      <c r="C948" s="84" t="s">
        <v>958</v>
      </c>
      <c r="D948" s="84" t="s">
        <v>2740</v>
      </c>
      <c r="E948" s="84" t="s">
        <v>955</v>
      </c>
      <c r="F948" s="84" t="s">
        <v>1043</v>
      </c>
    </row>
    <row r="949" spans="1:6" hidden="1" x14ac:dyDescent="0.25">
      <c r="A949" s="85">
        <v>7942</v>
      </c>
      <c r="B949" s="85">
        <v>7942</v>
      </c>
      <c r="C949" s="84" t="s">
        <v>958</v>
      </c>
      <c r="D949" s="84" t="s">
        <v>2741</v>
      </c>
      <c r="E949" s="84" t="s">
        <v>955</v>
      </c>
      <c r="F949" s="84" t="s">
        <v>1043</v>
      </c>
    </row>
    <row r="950" spans="1:6" hidden="1" x14ac:dyDescent="0.25">
      <c r="A950" s="85">
        <v>7943</v>
      </c>
      <c r="B950" s="85">
        <v>7943</v>
      </c>
      <c r="C950" s="84" t="s">
        <v>958</v>
      </c>
      <c r="D950" s="84" t="s">
        <v>2742</v>
      </c>
      <c r="E950" s="84" t="s">
        <v>955</v>
      </c>
      <c r="F950" s="84" t="s">
        <v>1043</v>
      </c>
    </row>
    <row r="951" spans="1:6" hidden="1" x14ac:dyDescent="0.25">
      <c r="A951" s="85">
        <v>7944</v>
      </c>
      <c r="B951" s="85">
        <v>7944</v>
      </c>
      <c r="C951" s="84" t="s">
        <v>958</v>
      </c>
      <c r="D951" s="84" t="s">
        <v>1240</v>
      </c>
      <c r="E951" s="84" t="s">
        <v>955</v>
      </c>
      <c r="F951" s="84" t="s">
        <v>1043</v>
      </c>
    </row>
    <row r="952" spans="1:6" hidden="1" x14ac:dyDescent="0.25">
      <c r="A952" s="85">
        <v>7945</v>
      </c>
      <c r="B952" s="85">
        <v>7945</v>
      </c>
      <c r="C952" s="84" t="s">
        <v>958</v>
      </c>
      <c r="D952" s="84" t="s">
        <v>1241</v>
      </c>
      <c r="E952" s="84" t="s">
        <v>955</v>
      </c>
      <c r="F952" s="84" t="s">
        <v>1043</v>
      </c>
    </row>
    <row r="953" spans="1:6" hidden="1" x14ac:dyDescent="0.25">
      <c r="A953" s="85">
        <v>7946</v>
      </c>
      <c r="B953" s="85">
        <v>7946</v>
      </c>
      <c r="C953" s="84" t="s">
        <v>958</v>
      </c>
      <c r="D953" s="84" t="s">
        <v>2743</v>
      </c>
      <c r="E953" s="84" t="s">
        <v>955</v>
      </c>
      <c r="F953" s="84" t="s">
        <v>1043</v>
      </c>
    </row>
    <row r="954" spans="1:6" hidden="1" x14ac:dyDescent="0.25">
      <c r="A954" s="85">
        <v>7947</v>
      </c>
      <c r="B954" s="85">
        <v>7947</v>
      </c>
      <c r="C954" s="84" t="s">
        <v>958</v>
      </c>
      <c r="D954" s="84" t="s">
        <v>2744</v>
      </c>
      <c r="E954" s="84" t="s">
        <v>955</v>
      </c>
      <c r="F954" s="84" t="s">
        <v>1043</v>
      </c>
    </row>
    <row r="955" spans="1:6" hidden="1" x14ac:dyDescent="0.25">
      <c r="A955" s="85">
        <v>7948</v>
      </c>
      <c r="B955" s="85">
        <v>7948</v>
      </c>
      <c r="C955" s="84" t="s">
        <v>958</v>
      </c>
      <c r="D955" s="84" t="s">
        <v>2745</v>
      </c>
      <c r="E955" s="84" t="s">
        <v>955</v>
      </c>
      <c r="F955" s="84" t="s">
        <v>1043</v>
      </c>
    </row>
    <row r="956" spans="1:6" hidden="1" x14ac:dyDescent="0.25">
      <c r="A956" s="85">
        <v>7949</v>
      </c>
      <c r="B956" s="85">
        <v>7949</v>
      </c>
      <c r="C956" s="84" t="s">
        <v>958</v>
      </c>
      <c r="D956" s="84" t="s">
        <v>1242</v>
      </c>
      <c r="E956" s="84" t="s">
        <v>955</v>
      </c>
      <c r="F956" s="84" t="s">
        <v>1043</v>
      </c>
    </row>
    <row r="957" spans="1:6" hidden="1" x14ac:dyDescent="0.25">
      <c r="A957" s="85">
        <v>7950</v>
      </c>
      <c r="B957" s="85">
        <v>7950</v>
      </c>
      <c r="C957" s="84" t="s">
        <v>958</v>
      </c>
      <c r="D957" s="84" t="s">
        <v>2746</v>
      </c>
      <c r="E957" s="84" t="s">
        <v>955</v>
      </c>
      <c r="F957" s="84" t="s">
        <v>1043</v>
      </c>
    </row>
    <row r="958" spans="1:6" hidden="1" x14ac:dyDescent="0.25">
      <c r="A958" s="85">
        <v>7951</v>
      </c>
      <c r="B958" s="85">
        <v>7951</v>
      </c>
      <c r="C958" s="84" t="s">
        <v>958</v>
      </c>
      <c r="D958" s="84" t="s">
        <v>2747</v>
      </c>
      <c r="E958" s="84" t="s">
        <v>955</v>
      </c>
      <c r="F958" s="84" t="s">
        <v>1043</v>
      </c>
    </row>
    <row r="959" spans="1:6" hidden="1" x14ac:dyDescent="0.25">
      <c r="A959" s="85">
        <v>7952</v>
      </c>
      <c r="B959" s="85">
        <v>7952</v>
      </c>
      <c r="C959" s="84" t="s">
        <v>958</v>
      </c>
      <c r="D959" s="84" t="s">
        <v>1243</v>
      </c>
      <c r="E959" s="84" t="s">
        <v>955</v>
      </c>
      <c r="F959" s="84" t="s">
        <v>1043</v>
      </c>
    </row>
    <row r="960" spans="1:6" hidden="1" x14ac:dyDescent="0.25">
      <c r="A960" s="85">
        <v>7953</v>
      </c>
      <c r="B960" s="85">
        <v>7953</v>
      </c>
      <c r="C960" s="84" t="s">
        <v>958</v>
      </c>
      <c r="D960" s="84" t="s">
        <v>2748</v>
      </c>
      <c r="E960" s="84" t="s">
        <v>955</v>
      </c>
      <c r="F960" s="84" t="s">
        <v>1043</v>
      </c>
    </row>
    <row r="961" spans="1:6" hidden="1" x14ac:dyDescent="0.25">
      <c r="A961" s="85">
        <v>7954</v>
      </c>
      <c r="B961" s="85">
        <v>7954</v>
      </c>
      <c r="C961" s="84" t="s">
        <v>958</v>
      </c>
      <c r="D961" s="84" t="s">
        <v>2749</v>
      </c>
      <c r="E961" s="84" t="s">
        <v>955</v>
      </c>
      <c r="F961" s="84" t="s">
        <v>1043</v>
      </c>
    </row>
    <row r="962" spans="1:6" hidden="1" x14ac:dyDescent="0.25">
      <c r="A962" s="85">
        <v>7955</v>
      </c>
      <c r="B962" s="85">
        <v>7955</v>
      </c>
      <c r="C962" s="84" t="s">
        <v>958</v>
      </c>
      <c r="D962" s="84" t="s">
        <v>1244</v>
      </c>
      <c r="E962" s="84" t="s">
        <v>955</v>
      </c>
      <c r="F962" s="84" t="s">
        <v>1043</v>
      </c>
    </row>
    <row r="963" spans="1:6" hidden="1" x14ac:dyDescent="0.25">
      <c r="A963" s="85">
        <v>7956</v>
      </c>
      <c r="B963" s="85">
        <v>7956</v>
      </c>
      <c r="C963" s="84" t="s">
        <v>958</v>
      </c>
      <c r="D963" s="84" t="s">
        <v>2750</v>
      </c>
      <c r="E963" s="84" t="s">
        <v>955</v>
      </c>
      <c r="F963" s="84" t="s">
        <v>1043</v>
      </c>
    </row>
    <row r="964" spans="1:6" hidden="1" x14ac:dyDescent="0.25">
      <c r="A964" s="85">
        <v>7957</v>
      </c>
      <c r="B964" s="85">
        <v>7957</v>
      </c>
      <c r="C964" s="84" t="s">
        <v>958</v>
      </c>
      <c r="D964" s="84" t="s">
        <v>2751</v>
      </c>
      <c r="E964" s="84" t="s">
        <v>955</v>
      </c>
      <c r="F964" s="84" t="s">
        <v>1043</v>
      </c>
    </row>
    <row r="965" spans="1:6" hidden="1" x14ac:dyDescent="0.25">
      <c r="A965" s="85">
        <v>7958</v>
      </c>
      <c r="B965" s="85">
        <v>7958</v>
      </c>
      <c r="C965" s="84" t="s">
        <v>958</v>
      </c>
      <c r="D965" s="84" t="s">
        <v>1245</v>
      </c>
      <c r="E965" s="84" t="s">
        <v>955</v>
      </c>
      <c r="F965" s="84" t="s">
        <v>1043</v>
      </c>
    </row>
    <row r="966" spans="1:6" hidden="1" x14ac:dyDescent="0.25">
      <c r="A966" s="85">
        <v>7959</v>
      </c>
      <c r="B966" s="85">
        <v>7959</v>
      </c>
      <c r="C966" s="84" t="s">
        <v>958</v>
      </c>
      <c r="D966" s="84" t="s">
        <v>1246</v>
      </c>
      <c r="E966" s="84" t="s">
        <v>955</v>
      </c>
      <c r="F966" s="84" t="s">
        <v>1043</v>
      </c>
    </row>
    <row r="967" spans="1:6" hidden="1" x14ac:dyDescent="0.25">
      <c r="A967" s="85">
        <v>7960</v>
      </c>
      <c r="B967" s="85">
        <v>7960</v>
      </c>
      <c r="C967" s="84" t="s">
        <v>958</v>
      </c>
      <c r="D967" s="84" t="s">
        <v>1245</v>
      </c>
      <c r="E967" s="84" t="s">
        <v>955</v>
      </c>
      <c r="F967" s="84" t="s">
        <v>1043</v>
      </c>
    </row>
    <row r="968" spans="1:6" hidden="1" x14ac:dyDescent="0.25">
      <c r="A968" s="85">
        <v>7961</v>
      </c>
      <c r="B968" s="85">
        <v>7961</v>
      </c>
      <c r="C968" s="84" t="s">
        <v>958</v>
      </c>
      <c r="D968" s="84" t="s">
        <v>1247</v>
      </c>
      <c r="E968" s="84" t="s">
        <v>955</v>
      </c>
      <c r="F968" s="84" t="s">
        <v>1043</v>
      </c>
    </row>
    <row r="969" spans="1:6" hidden="1" x14ac:dyDescent="0.25">
      <c r="A969" s="85">
        <v>7962</v>
      </c>
      <c r="B969" s="85">
        <v>7962</v>
      </c>
      <c r="C969" s="84" t="s">
        <v>958</v>
      </c>
      <c r="D969" s="84" t="s">
        <v>1248</v>
      </c>
      <c r="E969" s="84" t="s">
        <v>955</v>
      </c>
      <c r="F969" s="84" t="s">
        <v>1043</v>
      </c>
    </row>
    <row r="970" spans="1:6" hidden="1" x14ac:dyDescent="0.25">
      <c r="A970" s="85">
        <v>7963</v>
      </c>
      <c r="B970" s="85">
        <v>7963</v>
      </c>
      <c r="C970" s="84" t="s">
        <v>958</v>
      </c>
      <c r="D970" s="84" t="s">
        <v>1249</v>
      </c>
      <c r="E970" s="84" t="s">
        <v>955</v>
      </c>
      <c r="F970" s="84" t="s">
        <v>1043</v>
      </c>
    </row>
    <row r="971" spans="1:6" hidden="1" x14ac:dyDescent="0.25">
      <c r="A971" s="85">
        <v>7964</v>
      </c>
      <c r="B971" s="85">
        <v>7964</v>
      </c>
      <c r="C971" s="84" t="s">
        <v>958</v>
      </c>
      <c r="D971" s="84" t="s">
        <v>1250</v>
      </c>
      <c r="E971" s="84" t="s">
        <v>955</v>
      </c>
      <c r="F971" s="84" t="s">
        <v>1043</v>
      </c>
    </row>
    <row r="972" spans="1:6" hidden="1" x14ac:dyDescent="0.25">
      <c r="A972" s="85">
        <v>7965</v>
      </c>
      <c r="B972" s="85">
        <v>7965</v>
      </c>
      <c r="C972" s="84" t="s">
        <v>958</v>
      </c>
      <c r="D972" s="84" t="s">
        <v>1251</v>
      </c>
      <c r="E972" s="84" t="s">
        <v>955</v>
      </c>
      <c r="F972" s="84" t="s">
        <v>1043</v>
      </c>
    </row>
    <row r="973" spans="1:6" hidden="1" x14ac:dyDescent="0.25">
      <c r="A973" s="85">
        <v>7966</v>
      </c>
      <c r="B973" s="85">
        <v>7966</v>
      </c>
      <c r="C973" s="84" t="s">
        <v>958</v>
      </c>
      <c r="D973" s="84" t="s">
        <v>1252</v>
      </c>
      <c r="E973" s="84" t="s">
        <v>955</v>
      </c>
      <c r="F973" s="84" t="s">
        <v>1043</v>
      </c>
    </row>
    <row r="974" spans="1:6" hidden="1" x14ac:dyDescent="0.25">
      <c r="A974" s="85">
        <v>7967</v>
      </c>
      <c r="B974" s="85">
        <v>7967</v>
      </c>
      <c r="C974" s="84" t="s">
        <v>958</v>
      </c>
      <c r="D974" s="84" t="s">
        <v>1253</v>
      </c>
      <c r="E974" s="84" t="s">
        <v>955</v>
      </c>
      <c r="F974" s="84" t="s">
        <v>1043</v>
      </c>
    </row>
    <row r="975" spans="1:6" hidden="1" x14ac:dyDescent="0.25">
      <c r="A975" s="85">
        <v>7968</v>
      </c>
      <c r="B975" s="85">
        <v>7968</v>
      </c>
      <c r="C975" s="84" t="s">
        <v>958</v>
      </c>
      <c r="D975" s="84" t="s">
        <v>2752</v>
      </c>
      <c r="E975" s="84" t="s">
        <v>955</v>
      </c>
      <c r="F975" s="84" t="s">
        <v>1043</v>
      </c>
    </row>
    <row r="976" spans="1:6" hidden="1" x14ac:dyDescent="0.25">
      <c r="A976" s="85">
        <v>7969</v>
      </c>
      <c r="B976" s="85">
        <v>7969</v>
      </c>
      <c r="C976" s="84" t="s">
        <v>958</v>
      </c>
      <c r="D976" s="84" t="s">
        <v>2753</v>
      </c>
      <c r="E976" s="84" t="s">
        <v>955</v>
      </c>
      <c r="F976" s="84" t="s">
        <v>1043</v>
      </c>
    </row>
    <row r="977" spans="1:6" hidden="1" x14ac:dyDescent="0.25">
      <c r="A977" s="85">
        <v>7970</v>
      </c>
      <c r="B977" s="85">
        <v>7970</v>
      </c>
      <c r="C977" s="84" t="s">
        <v>958</v>
      </c>
      <c r="D977" s="84" t="s">
        <v>2754</v>
      </c>
      <c r="E977" s="84" t="s">
        <v>955</v>
      </c>
      <c r="F977" s="84" t="s">
        <v>1043</v>
      </c>
    </row>
    <row r="978" spans="1:6" hidden="1" x14ac:dyDescent="0.25">
      <c r="A978" s="85">
        <v>7971</v>
      </c>
      <c r="B978" s="85">
        <v>7971</v>
      </c>
      <c r="C978" s="84" t="s">
        <v>958</v>
      </c>
      <c r="D978" s="84" t="s">
        <v>1254</v>
      </c>
      <c r="E978" s="84" t="s">
        <v>955</v>
      </c>
      <c r="F978" s="84" t="s">
        <v>1043</v>
      </c>
    </row>
    <row r="979" spans="1:6" hidden="1" x14ac:dyDescent="0.25">
      <c r="A979" s="85">
        <v>7972</v>
      </c>
      <c r="B979" s="85">
        <v>7972</v>
      </c>
      <c r="C979" s="84" t="s">
        <v>958</v>
      </c>
      <c r="D979" s="84" t="s">
        <v>1255</v>
      </c>
      <c r="E979" s="84" t="s">
        <v>955</v>
      </c>
      <c r="F979" s="84" t="s">
        <v>1043</v>
      </c>
    </row>
    <row r="980" spans="1:6" hidden="1" x14ac:dyDescent="0.25">
      <c r="A980" s="85">
        <v>7973</v>
      </c>
      <c r="B980" s="85">
        <v>7973</v>
      </c>
      <c r="C980" s="84" t="s">
        <v>958</v>
      </c>
      <c r="D980" s="84" t="s">
        <v>2755</v>
      </c>
      <c r="E980" s="84" t="s">
        <v>955</v>
      </c>
      <c r="F980" s="84" t="s">
        <v>1043</v>
      </c>
    </row>
    <row r="981" spans="1:6" hidden="1" x14ac:dyDescent="0.25">
      <c r="A981" s="85">
        <v>7974</v>
      </c>
      <c r="B981" s="85">
        <v>7974</v>
      </c>
      <c r="C981" s="84" t="s">
        <v>958</v>
      </c>
      <c r="D981" s="84" t="s">
        <v>2756</v>
      </c>
      <c r="E981" s="84" t="s">
        <v>955</v>
      </c>
      <c r="F981" s="84" t="s">
        <v>1043</v>
      </c>
    </row>
    <row r="982" spans="1:6" hidden="1" x14ac:dyDescent="0.25">
      <c r="A982" s="85">
        <v>7975</v>
      </c>
      <c r="B982" s="85">
        <v>7975</v>
      </c>
      <c r="C982" s="84" t="s">
        <v>958</v>
      </c>
      <c r="D982" s="84" t="s">
        <v>2757</v>
      </c>
      <c r="E982" s="84" t="s">
        <v>955</v>
      </c>
      <c r="F982" s="84" t="s">
        <v>1043</v>
      </c>
    </row>
    <row r="983" spans="1:6" hidden="1" x14ac:dyDescent="0.25">
      <c r="A983" s="85">
        <v>7976</v>
      </c>
      <c r="B983" s="85">
        <v>7976</v>
      </c>
      <c r="C983" s="84" t="s">
        <v>958</v>
      </c>
      <c r="D983" s="84" t="s">
        <v>2758</v>
      </c>
      <c r="E983" s="84" t="s">
        <v>955</v>
      </c>
      <c r="F983" s="84" t="s">
        <v>1043</v>
      </c>
    </row>
    <row r="984" spans="1:6" hidden="1" x14ac:dyDescent="0.25">
      <c r="A984" s="85">
        <v>7977</v>
      </c>
      <c r="B984" s="85">
        <v>7977</v>
      </c>
      <c r="C984" s="84" t="s">
        <v>958</v>
      </c>
      <c r="D984" s="84" t="s">
        <v>2759</v>
      </c>
      <c r="E984" s="84" t="s">
        <v>955</v>
      </c>
      <c r="F984" s="84" t="s">
        <v>1043</v>
      </c>
    </row>
    <row r="985" spans="1:6" hidden="1" x14ac:dyDescent="0.25">
      <c r="A985" s="85">
        <v>8100</v>
      </c>
      <c r="B985" s="85">
        <v>8100</v>
      </c>
      <c r="C985" s="84" t="s">
        <v>958</v>
      </c>
      <c r="D985" s="84" t="s">
        <v>1256</v>
      </c>
      <c r="E985" s="84" t="s">
        <v>955</v>
      </c>
      <c r="F985" s="84" t="s">
        <v>1043</v>
      </c>
    </row>
    <row r="986" spans="1:6" hidden="1" x14ac:dyDescent="0.25">
      <c r="A986" s="85">
        <v>8101</v>
      </c>
      <c r="B986" s="85">
        <v>8101</v>
      </c>
      <c r="C986" s="84" t="s">
        <v>958</v>
      </c>
      <c r="D986" s="84" t="s">
        <v>2760</v>
      </c>
      <c r="E986" s="84" t="s">
        <v>955</v>
      </c>
      <c r="F986" s="84" t="s">
        <v>1043</v>
      </c>
    </row>
    <row r="987" spans="1:6" hidden="1" x14ac:dyDescent="0.25">
      <c r="A987" s="85">
        <v>8102</v>
      </c>
      <c r="B987" s="85">
        <v>8102</v>
      </c>
      <c r="C987" s="84" t="s">
        <v>958</v>
      </c>
      <c r="D987" s="84" t="s">
        <v>2761</v>
      </c>
      <c r="E987" s="84" t="s">
        <v>955</v>
      </c>
      <c r="F987" s="84" t="s">
        <v>1043</v>
      </c>
    </row>
    <row r="988" spans="1:6" hidden="1" x14ac:dyDescent="0.25">
      <c r="A988" s="85">
        <v>8104</v>
      </c>
      <c r="B988" s="85">
        <v>8104</v>
      </c>
      <c r="C988" s="84" t="s">
        <v>958</v>
      </c>
      <c r="D988" s="84" t="s">
        <v>2484</v>
      </c>
      <c r="E988" s="84" t="s">
        <v>955</v>
      </c>
      <c r="F988" s="84" t="s">
        <v>1043</v>
      </c>
    </row>
    <row r="989" spans="1:6" hidden="1" x14ac:dyDescent="0.25">
      <c r="A989" s="85">
        <v>8106</v>
      </c>
      <c r="B989" s="85">
        <v>8106</v>
      </c>
      <c r="C989" s="84" t="s">
        <v>958</v>
      </c>
      <c r="D989" s="84" t="s">
        <v>2762</v>
      </c>
      <c r="E989" s="84" t="s">
        <v>955</v>
      </c>
      <c r="F989" s="84" t="s">
        <v>1043</v>
      </c>
    </row>
    <row r="990" spans="1:6" hidden="1" x14ac:dyDescent="0.25">
      <c r="A990" s="85">
        <v>8109</v>
      </c>
      <c r="B990" s="85">
        <v>8109</v>
      </c>
      <c r="C990" s="84" t="s">
        <v>958</v>
      </c>
      <c r="D990" s="84" t="s">
        <v>2763</v>
      </c>
      <c r="E990" s="84" t="s">
        <v>955</v>
      </c>
      <c r="F990" s="84" t="s">
        <v>1043</v>
      </c>
    </row>
    <row r="991" spans="1:6" hidden="1" x14ac:dyDescent="0.25">
      <c r="A991" s="85">
        <v>8111</v>
      </c>
      <c r="B991" s="85">
        <v>8111</v>
      </c>
      <c r="C991" s="84" t="s">
        <v>958</v>
      </c>
      <c r="D991" s="84" t="s">
        <v>2764</v>
      </c>
      <c r="E991" s="84" t="s">
        <v>955</v>
      </c>
      <c r="F991" s="84" t="s">
        <v>1043</v>
      </c>
    </row>
    <row r="992" spans="1:6" hidden="1" x14ac:dyDescent="0.25">
      <c r="A992" s="85">
        <v>8113</v>
      </c>
      <c r="B992" s="85">
        <v>8113</v>
      </c>
      <c r="C992" s="84" t="s">
        <v>958</v>
      </c>
      <c r="D992" s="84" t="s">
        <v>1257</v>
      </c>
      <c r="E992" s="84" t="s">
        <v>955</v>
      </c>
      <c r="F992" s="84" t="s">
        <v>1043</v>
      </c>
    </row>
    <row r="993" spans="1:6" hidden="1" x14ac:dyDescent="0.25">
      <c r="A993" s="85">
        <v>8125</v>
      </c>
      <c r="B993" s="85">
        <v>8125</v>
      </c>
      <c r="C993" s="84" t="s">
        <v>958</v>
      </c>
      <c r="D993" s="84" t="s">
        <v>1258</v>
      </c>
      <c r="E993" s="84" t="s">
        <v>955</v>
      </c>
      <c r="F993" s="84" t="s">
        <v>1043</v>
      </c>
    </row>
    <row r="994" spans="1:6" hidden="1" x14ac:dyDescent="0.25">
      <c r="A994" s="85">
        <v>8133</v>
      </c>
      <c r="B994" s="85">
        <v>8133</v>
      </c>
      <c r="C994" s="84" t="s">
        <v>958</v>
      </c>
      <c r="D994" s="84" t="s">
        <v>1259</v>
      </c>
      <c r="E994" s="84" t="s">
        <v>955</v>
      </c>
      <c r="F994" s="84" t="s">
        <v>1043</v>
      </c>
    </row>
    <row r="995" spans="1:6" hidden="1" x14ac:dyDescent="0.25">
      <c r="A995" s="85">
        <v>8134</v>
      </c>
      <c r="B995" s="85">
        <v>8134</v>
      </c>
      <c r="C995" s="84" t="s">
        <v>958</v>
      </c>
      <c r="D995" s="84" t="s">
        <v>1260</v>
      </c>
      <c r="E995" s="84" t="s">
        <v>955</v>
      </c>
      <c r="F995" s="84" t="s">
        <v>1043</v>
      </c>
    </row>
    <row r="996" spans="1:6" hidden="1" x14ac:dyDescent="0.25">
      <c r="A996" s="85">
        <v>8137</v>
      </c>
      <c r="B996" s="85">
        <v>8137</v>
      </c>
      <c r="C996" s="84" t="s">
        <v>958</v>
      </c>
      <c r="D996" s="84" t="s">
        <v>1261</v>
      </c>
      <c r="E996" s="84" t="s">
        <v>955</v>
      </c>
      <c r="F996" s="84" t="s">
        <v>1043</v>
      </c>
    </row>
    <row r="997" spans="1:6" hidden="1" x14ac:dyDescent="0.25">
      <c r="A997" s="85">
        <v>8139</v>
      </c>
      <c r="B997" s="85">
        <v>8139</v>
      </c>
      <c r="C997" s="84" t="s">
        <v>958</v>
      </c>
      <c r="D997" s="84" t="s">
        <v>1262</v>
      </c>
      <c r="E997" s="84" t="s">
        <v>955</v>
      </c>
      <c r="F997" s="84" t="s">
        <v>1043</v>
      </c>
    </row>
    <row r="998" spans="1:6" hidden="1" x14ac:dyDescent="0.25">
      <c r="A998" s="85">
        <v>8140</v>
      </c>
      <c r="B998" s="85">
        <v>8140</v>
      </c>
      <c r="C998" s="84" t="s">
        <v>958</v>
      </c>
      <c r="D998" s="84" t="s">
        <v>2765</v>
      </c>
      <c r="E998" s="84" t="s">
        <v>955</v>
      </c>
      <c r="F998" s="84" t="s">
        <v>1043</v>
      </c>
    </row>
    <row r="999" spans="1:6" hidden="1" x14ac:dyDescent="0.25">
      <c r="A999" s="85">
        <v>8164</v>
      </c>
      <c r="B999" s="85">
        <v>8164</v>
      </c>
      <c r="C999" s="84" t="s">
        <v>958</v>
      </c>
      <c r="D999" s="84" t="s">
        <v>416</v>
      </c>
      <c r="E999" s="84" t="s">
        <v>955</v>
      </c>
      <c r="F999" s="84" t="s">
        <v>1043</v>
      </c>
    </row>
    <row r="1000" spans="1:6" hidden="1" x14ac:dyDescent="0.25">
      <c r="A1000" s="85">
        <v>8167</v>
      </c>
      <c r="B1000" s="85">
        <v>8167</v>
      </c>
      <c r="C1000" s="84" t="s">
        <v>958</v>
      </c>
      <c r="D1000" s="84" t="s">
        <v>2766</v>
      </c>
      <c r="E1000" s="84" t="s">
        <v>955</v>
      </c>
      <c r="F1000" s="84" t="s">
        <v>1043</v>
      </c>
    </row>
    <row r="1001" spans="1:6" hidden="1" x14ac:dyDescent="0.25">
      <c r="A1001" s="85">
        <v>8175</v>
      </c>
      <c r="B1001" s="85">
        <v>8175</v>
      </c>
      <c r="C1001" s="84" t="s">
        <v>958</v>
      </c>
      <c r="D1001" s="84" t="s">
        <v>2767</v>
      </c>
      <c r="E1001" s="84" t="s">
        <v>955</v>
      </c>
      <c r="F1001" s="84" t="s">
        <v>1043</v>
      </c>
    </row>
    <row r="1002" spans="1:6" hidden="1" x14ac:dyDescent="0.25">
      <c r="A1002" s="85">
        <v>8178</v>
      </c>
      <c r="B1002" s="85">
        <v>8178</v>
      </c>
      <c r="C1002" s="84" t="s">
        <v>958</v>
      </c>
      <c r="D1002" s="84" t="s">
        <v>2628</v>
      </c>
      <c r="E1002" s="84" t="s">
        <v>955</v>
      </c>
      <c r="F1002" s="84" t="s">
        <v>1043</v>
      </c>
    </row>
    <row r="1003" spans="1:6" hidden="1" x14ac:dyDescent="0.25">
      <c r="A1003" s="85">
        <v>8179</v>
      </c>
      <c r="B1003" s="85">
        <v>8179</v>
      </c>
      <c r="C1003" s="84" t="s">
        <v>958</v>
      </c>
      <c r="D1003" s="84" t="s">
        <v>2768</v>
      </c>
      <c r="E1003" s="84" t="s">
        <v>955</v>
      </c>
      <c r="F1003" s="84" t="s">
        <v>1043</v>
      </c>
    </row>
    <row r="1004" spans="1:6" hidden="1" x14ac:dyDescent="0.25">
      <c r="A1004" s="85">
        <v>8181</v>
      </c>
      <c r="B1004" s="85">
        <v>8181</v>
      </c>
      <c r="C1004" s="84" t="s">
        <v>958</v>
      </c>
      <c r="D1004" s="84" t="s">
        <v>2769</v>
      </c>
      <c r="E1004" s="84" t="s">
        <v>955</v>
      </c>
      <c r="F1004" s="84" t="s">
        <v>1043</v>
      </c>
    </row>
    <row r="1005" spans="1:6" hidden="1" x14ac:dyDescent="0.25">
      <c r="A1005" s="85">
        <v>8183</v>
      </c>
      <c r="B1005" s="85">
        <v>8183</v>
      </c>
      <c r="C1005" s="84" t="s">
        <v>958</v>
      </c>
      <c r="D1005" s="84" t="s">
        <v>1263</v>
      </c>
      <c r="E1005" s="84" t="s">
        <v>955</v>
      </c>
      <c r="F1005" s="84" t="s">
        <v>1043</v>
      </c>
    </row>
    <row r="1006" spans="1:6" hidden="1" x14ac:dyDescent="0.25">
      <c r="A1006" s="85">
        <v>8186</v>
      </c>
      <c r="B1006" s="85">
        <v>8186</v>
      </c>
      <c r="C1006" s="84" t="s">
        <v>958</v>
      </c>
      <c r="D1006" s="84" t="s">
        <v>1231</v>
      </c>
      <c r="E1006" s="84" t="s">
        <v>955</v>
      </c>
      <c r="F1006" s="84" t="s">
        <v>1043</v>
      </c>
    </row>
    <row r="1007" spans="1:6" hidden="1" x14ac:dyDescent="0.25">
      <c r="A1007" s="85">
        <v>8208</v>
      </c>
      <c r="B1007" s="85">
        <v>8208</v>
      </c>
      <c r="C1007" s="84" t="s">
        <v>958</v>
      </c>
      <c r="D1007" s="84" t="s">
        <v>1264</v>
      </c>
      <c r="E1007" s="84" t="s">
        <v>955</v>
      </c>
      <c r="F1007" s="84" t="s">
        <v>1043</v>
      </c>
    </row>
    <row r="1008" spans="1:6" hidden="1" x14ac:dyDescent="0.25">
      <c r="A1008" s="85">
        <v>8209</v>
      </c>
      <c r="B1008" s="85">
        <v>8209</v>
      </c>
      <c r="C1008" s="84" t="s">
        <v>958</v>
      </c>
      <c r="D1008" s="84" t="s">
        <v>2770</v>
      </c>
      <c r="E1008" s="84" t="s">
        <v>955</v>
      </c>
      <c r="F1008" s="84" t="s">
        <v>1043</v>
      </c>
    </row>
    <row r="1009" spans="1:6" hidden="1" x14ac:dyDescent="0.25">
      <c r="A1009" s="85">
        <v>8210</v>
      </c>
      <c r="B1009" s="85">
        <v>8210</v>
      </c>
      <c r="C1009" s="84" t="s">
        <v>958</v>
      </c>
      <c r="D1009" s="84" t="s">
        <v>1265</v>
      </c>
      <c r="E1009" s="84" t="s">
        <v>955</v>
      </c>
      <c r="F1009" s="84" t="s">
        <v>1043</v>
      </c>
    </row>
    <row r="1010" spans="1:6" hidden="1" x14ac:dyDescent="0.25">
      <c r="A1010" s="85">
        <v>8211</v>
      </c>
      <c r="B1010" s="85">
        <v>8211</v>
      </c>
      <c r="C1010" s="84" t="s">
        <v>958</v>
      </c>
      <c r="D1010" s="84" t="s">
        <v>2771</v>
      </c>
      <c r="E1010" s="84" t="s">
        <v>955</v>
      </c>
      <c r="F1010" s="84" t="s">
        <v>1043</v>
      </c>
    </row>
    <row r="1011" spans="1:6" hidden="1" x14ac:dyDescent="0.25">
      <c r="A1011" s="85">
        <v>8212</v>
      </c>
      <c r="B1011" s="85">
        <v>8212</v>
      </c>
      <c r="C1011" s="84" t="s">
        <v>958</v>
      </c>
      <c r="D1011" s="84" t="s">
        <v>2772</v>
      </c>
      <c r="E1011" s="84" t="s">
        <v>955</v>
      </c>
      <c r="F1011" s="84" t="s">
        <v>1043</v>
      </c>
    </row>
    <row r="1012" spans="1:6" hidden="1" x14ac:dyDescent="0.25">
      <c r="A1012" s="85">
        <v>8213</v>
      </c>
      <c r="B1012" s="85">
        <v>8213</v>
      </c>
      <c r="C1012" s="84" t="s">
        <v>958</v>
      </c>
      <c r="D1012" s="84" t="s">
        <v>2773</v>
      </c>
      <c r="E1012" s="84" t="s">
        <v>955</v>
      </c>
      <c r="F1012" s="84" t="s">
        <v>1043</v>
      </c>
    </row>
    <row r="1013" spans="1:6" hidden="1" x14ac:dyDescent="0.25">
      <c r="A1013" s="85">
        <v>8215</v>
      </c>
      <c r="B1013" s="85">
        <v>8215</v>
      </c>
      <c r="C1013" s="84" t="s">
        <v>958</v>
      </c>
      <c r="D1013" s="84" t="s">
        <v>1266</v>
      </c>
      <c r="E1013" s="84" t="s">
        <v>955</v>
      </c>
      <c r="F1013" s="84" t="s">
        <v>1043</v>
      </c>
    </row>
    <row r="1014" spans="1:6" hidden="1" x14ac:dyDescent="0.25">
      <c r="A1014" s="85">
        <v>8232</v>
      </c>
      <c r="B1014" s="85">
        <v>8232</v>
      </c>
      <c r="C1014" s="84" t="s">
        <v>958</v>
      </c>
      <c r="D1014" s="84" t="s">
        <v>1267</v>
      </c>
      <c r="E1014" s="84" t="s">
        <v>955</v>
      </c>
      <c r="F1014" s="84" t="s">
        <v>1043</v>
      </c>
    </row>
    <row r="1015" spans="1:6" hidden="1" x14ac:dyDescent="0.25">
      <c r="A1015" s="85">
        <v>8233</v>
      </c>
      <c r="B1015" s="85">
        <v>8233</v>
      </c>
      <c r="C1015" s="84" t="s">
        <v>958</v>
      </c>
      <c r="D1015" s="84" t="s">
        <v>1176</v>
      </c>
      <c r="E1015" s="84" t="s">
        <v>955</v>
      </c>
      <c r="F1015" s="84" t="s">
        <v>1043</v>
      </c>
    </row>
    <row r="1016" spans="1:6" hidden="1" x14ac:dyDescent="0.25">
      <c r="A1016" s="85">
        <v>8240</v>
      </c>
      <c r="B1016" s="85">
        <v>8240</v>
      </c>
      <c r="C1016" s="84" t="s">
        <v>958</v>
      </c>
      <c r="D1016" s="84" t="s">
        <v>2774</v>
      </c>
      <c r="E1016" s="84" t="s">
        <v>955</v>
      </c>
      <c r="F1016" s="84" t="s">
        <v>1043</v>
      </c>
    </row>
    <row r="1017" spans="1:6" hidden="1" x14ac:dyDescent="0.25">
      <c r="A1017" s="85">
        <v>8242</v>
      </c>
      <c r="B1017" s="85">
        <v>8242</v>
      </c>
      <c r="C1017" s="84" t="s">
        <v>958</v>
      </c>
      <c r="D1017" s="84" t="s">
        <v>405</v>
      </c>
      <c r="E1017" s="84" t="s">
        <v>955</v>
      </c>
      <c r="F1017" s="84" t="s">
        <v>1043</v>
      </c>
    </row>
    <row r="1018" spans="1:6" hidden="1" x14ac:dyDescent="0.25">
      <c r="A1018" s="85">
        <v>8261</v>
      </c>
      <c r="B1018" s="85">
        <v>8261</v>
      </c>
      <c r="C1018" s="84" t="s">
        <v>958</v>
      </c>
      <c r="D1018" s="84" t="s">
        <v>1268</v>
      </c>
      <c r="E1018" s="84" t="s">
        <v>955</v>
      </c>
      <c r="F1018" s="84" t="s">
        <v>1043</v>
      </c>
    </row>
    <row r="1019" spans="1:6" hidden="1" x14ac:dyDescent="0.25">
      <c r="A1019" s="85">
        <v>8267</v>
      </c>
      <c r="B1019" s="85">
        <v>8267</v>
      </c>
      <c r="C1019" s="84" t="s">
        <v>958</v>
      </c>
      <c r="D1019" s="84" t="s">
        <v>2775</v>
      </c>
      <c r="E1019" s="84" t="s">
        <v>955</v>
      </c>
      <c r="F1019" s="84" t="s">
        <v>1043</v>
      </c>
    </row>
    <row r="1020" spans="1:6" hidden="1" x14ac:dyDescent="0.25">
      <c r="A1020" s="85">
        <v>8268</v>
      </c>
      <c r="B1020" s="85">
        <v>8268</v>
      </c>
      <c r="C1020" s="84" t="s">
        <v>958</v>
      </c>
      <c r="D1020" s="84" t="s">
        <v>2776</v>
      </c>
      <c r="E1020" s="84" t="s">
        <v>955</v>
      </c>
      <c r="F1020" s="84" t="s">
        <v>1043</v>
      </c>
    </row>
    <row r="1021" spans="1:6" hidden="1" x14ac:dyDescent="0.25">
      <c r="A1021" s="85">
        <v>8270</v>
      </c>
      <c r="B1021" s="85">
        <v>8270</v>
      </c>
      <c r="C1021" s="84" t="s">
        <v>958</v>
      </c>
      <c r="D1021" s="84" t="s">
        <v>417</v>
      </c>
      <c r="E1021" s="84" t="s">
        <v>955</v>
      </c>
      <c r="F1021" s="84" t="s">
        <v>1043</v>
      </c>
    </row>
    <row r="1022" spans="1:6" hidden="1" x14ac:dyDescent="0.25">
      <c r="A1022" s="85">
        <v>8271</v>
      </c>
      <c r="B1022" s="85">
        <v>8271</v>
      </c>
      <c r="C1022" s="84" t="s">
        <v>958</v>
      </c>
      <c r="D1022" s="84" t="s">
        <v>418</v>
      </c>
      <c r="E1022" s="84" t="s">
        <v>955</v>
      </c>
      <c r="F1022" s="84" t="s">
        <v>1043</v>
      </c>
    </row>
    <row r="1023" spans="1:6" hidden="1" x14ac:dyDescent="0.25">
      <c r="A1023" s="85">
        <v>8272</v>
      </c>
      <c r="B1023" s="85">
        <v>8272</v>
      </c>
      <c r="C1023" s="84" t="s">
        <v>958</v>
      </c>
      <c r="D1023" s="84" t="s">
        <v>419</v>
      </c>
      <c r="E1023" s="84" t="s">
        <v>955</v>
      </c>
      <c r="F1023" s="84" t="s">
        <v>1043</v>
      </c>
    </row>
    <row r="1024" spans="1:6" hidden="1" x14ac:dyDescent="0.25">
      <c r="A1024" s="85">
        <v>8273</v>
      </c>
      <c r="B1024" s="85">
        <v>8273</v>
      </c>
      <c r="C1024" s="84" t="s">
        <v>958</v>
      </c>
      <c r="D1024" s="84" t="s">
        <v>1269</v>
      </c>
      <c r="E1024" s="84" t="s">
        <v>955</v>
      </c>
      <c r="F1024" s="84" t="s">
        <v>1043</v>
      </c>
    </row>
    <row r="1025" spans="1:6" hidden="1" x14ac:dyDescent="0.25">
      <c r="A1025" s="85">
        <v>8274</v>
      </c>
      <c r="B1025" s="85">
        <v>8274</v>
      </c>
      <c r="C1025" s="84" t="s">
        <v>958</v>
      </c>
      <c r="D1025" s="84" t="s">
        <v>754</v>
      </c>
      <c r="E1025" s="84" t="s">
        <v>955</v>
      </c>
      <c r="F1025" s="84" t="s">
        <v>1043</v>
      </c>
    </row>
    <row r="1026" spans="1:6" hidden="1" x14ac:dyDescent="0.25">
      <c r="A1026" s="85">
        <v>8276</v>
      </c>
      <c r="B1026" s="85">
        <v>8276</v>
      </c>
      <c r="C1026" s="84" t="s">
        <v>958</v>
      </c>
      <c r="D1026" s="84" t="s">
        <v>1270</v>
      </c>
      <c r="E1026" s="84" t="s">
        <v>955</v>
      </c>
      <c r="F1026" s="84" t="s">
        <v>1043</v>
      </c>
    </row>
    <row r="1027" spans="1:6" hidden="1" x14ac:dyDescent="0.25">
      <c r="A1027" s="85">
        <v>8288</v>
      </c>
      <c r="B1027" s="85">
        <v>8288</v>
      </c>
      <c r="C1027" s="84" t="s">
        <v>958</v>
      </c>
      <c r="D1027" s="84" t="s">
        <v>1271</v>
      </c>
      <c r="E1027" s="84" t="s">
        <v>955</v>
      </c>
      <c r="F1027" s="84" t="s">
        <v>1043</v>
      </c>
    </row>
    <row r="1028" spans="1:6" hidden="1" x14ac:dyDescent="0.25">
      <c r="A1028" s="85">
        <v>8291</v>
      </c>
      <c r="B1028" s="85">
        <v>8291</v>
      </c>
      <c r="C1028" s="84" t="s">
        <v>958</v>
      </c>
      <c r="D1028" s="84" t="s">
        <v>1272</v>
      </c>
      <c r="E1028" s="84" t="s">
        <v>955</v>
      </c>
      <c r="F1028" s="84" t="s">
        <v>1043</v>
      </c>
    </row>
    <row r="1029" spans="1:6" hidden="1" x14ac:dyDescent="0.25">
      <c r="A1029" s="85">
        <v>8301</v>
      </c>
      <c r="B1029" s="85">
        <v>8301</v>
      </c>
      <c r="C1029" s="84" t="s">
        <v>958</v>
      </c>
      <c r="D1029" s="84" t="s">
        <v>420</v>
      </c>
      <c r="E1029" s="84" t="s">
        <v>955</v>
      </c>
      <c r="F1029" s="84" t="s">
        <v>1043</v>
      </c>
    </row>
    <row r="1030" spans="1:6" hidden="1" x14ac:dyDescent="0.25">
      <c r="A1030" s="85">
        <v>8302</v>
      </c>
      <c r="B1030" s="85">
        <v>8302</v>
      </c>
      <c r="C1030" s="84" t="s">
        <v>958</v>
      </c>
      <c r="D1030" s="84" t="s">
        <v>1273</v>
      </c>
      <c r="E1030" s="84" t="s">
        <v>955</v>
      </c>
      <c r="F1030" s="84" t="s">
        <v>1043</v>
      </c>
    </row>
    <row r="1031" spans="1:6" hidden="1" x14ac:dyDescent="0.25">
      <c r="A1031" s="85">
        <v>8303</v>
      </c>
      <c r="B1031" s="85">
        <v>8303</v>
      </c>
      <c r="C1031" s="84" t="s">
        <v>958</v>
      </c>
      <c r="D1031" s="84" t="s">
        <v>1274</v>
      </c>
      <c r="E1031" s="84" t="s">
        <v>955</v>
      </c>
      <c r="F1031" s="84" t="s">
        <v>1043</v>
      </c>
    </row>
    <row r="1032" spans="1:6" hidden="1" x14ac:dyDescent="0.25">
      <c r="A1032" s="85">
        <v>8304</v>
      </c>
      <c r="B1032" s="85">
        <v>8304</v>
      </c>
      <c r="C1032" s="84" t="s">
        <v>958</v>
      </c>
      <c r="D1032" s="84" t="s">
        <v>1275</v>
      </c>
      <c r="E1032" s="84" t="s">
        <v>955</v>
      </c>
      <c r="F1032" s="84" t="s">
        <v>1043</v>
      </c>
    </row>
    <row r="1033" spans="1:6" hidden="1" x14ac:dyDescent="0.25">
      <c r="A1033" s="85">
        <v>8305</v>
      </c>
      <c r="B1033" s="85">
        <v>8305</v>
      </c>
      <c r="C1033" s="84" t="s">
        <v>958</v>
      </c>
      <c r="D1033" s="84" t="s">
        <v>1276</v>
      </c>
      <c r="E1033" s="84" t="s">
        <v>955</v>
      </c>
      <c r="F1033" s="84" t="s">
        <v>1043</v>
      </c>
    </row>
    <row r="1034" spans="1:6" hidden="1" x14ac:dyDescent="0.25">
      <c r="A1034" s="85">
        <v>8306</v>
      </c>
      <c r="B1034" s="85">
        <v>8306</v>
      </c>
      <c r="C1034" s="84" t="s">
        <v>958</v>
      </c>
      <c r="D1034" s="84" t="s">
        <v>1277</v>
      </c>
      <c r="E1034" s="84" t="s">
        <v>955</v>
      </c>
      <c r="F1034" s="84" t="s">
        <v>1043</v>
      </c>
    </row>
    <row r="1035" spans="1:6" hidden="1" x14ac:dyDescent="0.25">
      <c r="A1035" s="85">
        <v>8312</v>
      </c>
      <c r="B1035" s="85">
        <v>8312</v>
      </c>
      <c r="C1035" s="84" t="s">
        <v>958</v>
      </c>
      <c r="D1035" s="84" t="s">
        <v>2777</v>
      </c>
      <c r="E1035" s="84" t="s">
        <v>955</v>
      </c>
      <c r="F1035" s="84" t="s">
        <v>1043</v>
      </c>
    </row>
    <row r="1036" spans="1:6" hidden="1" x14ac:dyDescent="0.25">
      <c r="A1036" s="85">
        <v>8314</v>
      </c>
      <c r="B1036" s="85">
        <v>8314</v>
      </c>
      <c r="C1036" s="84" t="s">
        <v>958</v>
      </c>
      <c r="D1036" s="84" t="s">
        <v>1278</v>
      </c>
      <c r="E1036" s="84" t="s">
        <v>955</v>
      </c>
      <c r="F1036" s="84" t="s">
        <v>1043</v>
      </c>
    </row>
    <row r="1037" spans="1:6" hidden="1" x14ac:dyDescent="0.25">
      <c r="A1037" s="85">
        <v>8315</v>
      </c>
      <c r="B1037" s="85">
        <v>8315</v>
      </c>
      <c r="C1037" s="84" t="s">
        <v>958</v>
      </c>
      <c r="D1037" s="84" t="s">
        <v>1306</v>
      </c>
      <c r="E1037" s="84" t="s">
        <v>955</v>
      </c>
      <c r="F1037" s="84" t="s">
        <v>1043</v>
      </c>
    </row>
    <row r="1038" spans="1:6" hidden="1" x14ac:dyDescent="0.25">
      <c r="A1038" s="85">
        <v>8316</v>
      </c>
      <c r="B1038" s="85">
        <v>8316</v>
      </c>
      <c r="C1038" s="84" t="s">
        <v>958</v>
      </c>
      <c r="D1038" s="84" t="s">
        <v>2778</v>
      </c>
      <c r="E1038" s="84" t="s">
        <v>955</v>
      </c>
      <c r="F1038" s="84" t="s">
        <v>1043</v>
      </c>
    </row>
    <row r="1039" spans="1:6" hidden="1" x14ac:dyDescent="0.25">
      <c r="A1039" s="85">
        <v>8400</v>
      </c>
      <c r="B1039" s="85">
        <v>8400</v>
      </c>
      <c r="C1039" s="84" t="s">
        <v>958</v>
      </c>
      <c r="D1039" s="84" t="s">
        <v>1279</v>
      </c>
      <c r="E1039" s="84" t="s">
        <v>955</v>
      </c>
      <c r="F1039" s="84" t="s">
        <v>1043</v>
      </c>
    </row>
    <row r="1040" spans="1:6" hidden="1" x14ac:dyDescent="0.25">
      <c r="A1040" s="85">
        <v>8401</v>
      </c>
      <c r="B1040" s="85">
        <v>8401</v>
      </c>
      <c r="C1040" s="84" t="s">
        <v>958</v>
      </c>
      <c r="D1040" s="84" t="s">
        <v>340</v>
      </c>
      <c r="E1040" s="84" t="s">
        <v>955</v>
      </c>
      <c r="F1040" s="84" t="s">
        <v>1043</v>
      </c>
    </row>
    <row r="1041" spans="1:6" hidden="1" x14ac:dyDescent="0.25">
      <c r="A1041" s="85">
        <v>8405</v>
      </c>
      <c r="B1041" s="85">
        <v>8405</v>
      </c>
      <c r="C1041" s="84" t="s">
        <v>958</v>
      </c>
      <c r="D1041" s="84" t="s">
        <v>421</v>
      </c>
      <c r="E1041" s="84" t="s">
        <v>955</v>
      </c>
      <c r="F1041" s="84" t="s">
        <v>1043</v>
      </c>
    </row>
    <row r="1042" spans="1:6" hidden="1" x14ac:dyDescent="0.25">
      <c r="A1042" s="85">
        <v>8407</v>
      </c>
      <c r="B1042" s="85">
        <v>8407</v>
      </c>
      <c r="C1042" s="84" t="s">
        <v>958</v>
      </c>
      <c r="D1042" s="84" t="s">
        <v>340</v>
      </c>
      <c r="E1042" s="84" t="s">
        <v>955</v>
      </c>
      <c r="F1042" s="84" t="s">
        <v>1043</v>
      </c>
    </row>
    <row r="1043" spans="1:6" hidden="1" x14ac:dyDescent="0.25">
      <c r="A1043" s="85">
        <v>8409</v>
      </c>
      <c r="B1043" s="85">
        <v>8409</v>
      </c>
      <c r="C1043" s="84" t="s">
        <v>958</v>
      </c>
      <c r="D1043" s="84" t="s">
        <v>340</v>
      </c>
      <c r="E1043" s="84" t="s">
        <v>955</v>
      </c>
      <c r="F1043" s="84" t="s">
        <v>1043</v>
      </c>
    </row>
    <row r="1044" spans="1:6" hidden="1" x14ac:dyDescent="0.25">
      <c r="A1044" s="85">
        <v>8420</v>
      </c>
      <c r="B1044" s="85">
        <v>8420</v>
      </c>
      <c r="C1044" s="84" t="s">
        <v>958</v>
      </c>
      <c r="D1044" s="84" t="s">
        <v>2779</v>
      </c>
      <c r="E1044" s="84" t="s">
        <v>955</v>
      </c>
      <c r="F1044" s="84" t="s">
        <v>1043</v>
      </c>
    </row>
    <row r="1045" spans="1:6" hidden="1" x14ac:dyDescent="0.25">
      <c r="A1045" s="85">
        <v>8421</v>
      </c>
      <c r="B1045" s="85">
        <v>8421</v>
      </c>
      <c r="C1045" s="84" t="s">
        <v>958</v>
      </c>
      <c r="D1045" s="84" t="s">
        <v>2780</v>
      </c>
      <c r="E1045" s="84" t="s">
        <v>955</v>
      </c>
      <c r="F1045" s="84" t="s">
        <v>1043</v>
      </c>
    </row>
    <row r="1046" spans="1:6" hidden="1" x14ac:dyDescent="0.25">
      <c r="A1046" s="85">
        <v>8422</v>
      </c>
      <c r="B1046" s="85">
        <v>8422</v>
      </c>
      <c r="C1046" s="84" t="s">
        <v>958</v>
      </c>
      <c r="D1046" s="84" t="s">
        <v>1280</v>
      </c>
      <c r="E1046" s="84" t="s">
        <v>955</v>
      </c>
      <c r="F1046" s="84" t="s">
        <v>1043</v>
      </c>
    </row>
    <row r="1047" spans="1:6" hidden="1" x14ac:dyDescent="0.25">
      <c r="A1047" s="85">
        <v>8423</v>
      </c>
      <c r="B1047" s="85">
        <v>8423</v>
      </c>
      <c r="C1047" s="84" t="s">
        <v>958</v>
      </c>
      <c r="D1047" s="84" t="s">
        <v>2781</v>
      </c>
      <c r="E1047" s="84" t="s">
        <v>955</v>
      </c>
      <c r="F1047" s="84" t="s">
        <v>1043</v>
      </c>
    </row>
    <row r="1048" spans="1:6" hidden="1" x14ac:dyDescent="0.25">
      <c r="A1048" s="85">
        <v>8432</v>
      </c>
      <c r="B1048" s="85">
        <v>8432</v>
      </c>
      <c r="C1048" s="84" t="s">
        <v>958</v>
      </c>
      <c r="D1048" s="84" t="s">
        <v>1281</v>
      </c>
      <c r="E1048" s="84" t="s">
        <v>955</v>
      </c>
      <c r="F1048" s="84" t="s">
        <v>1043</v>
      </c>
    </row>
    <row r="1049" spans="1:6" hidden="1" x14ac:dyDescent="0.25">
      <c r="A1049" s="85">
        <v>8433</v>
      </c>
      <c r="B1049" s="85">
        <v>8433</v>
      </c>
      <c r="C1049" s="84" t="s">
        <v>958</v>
      </c>
      <c r="D1049" s="84" t="s">
        <v>1282</v>
      </c>
      <c r="E1049" s="84" t="s">
        <v>955</v>
      </c>
      <c r="F1049" s="84" t="s">
        <v>1043</v>
      </c>
    </row>
    <row r="1050" spans="1:6" hidden="1" x14ac:dyDescent="0.25">
      <c r="A1050" s="85">
        <v>8435</v>
      </c>
      <c r="B1050" s="85">
        <v>8435</v>
      </c>
      <c r="C1050" s="84" t="s">
        <v>958</v>
      </c>
      <c r="D1050" s="84" t="s">
        <v>340</v>
      </c>
      <c r="E1050" s="84" t="s">
        <v>955</v>
      </c>
      <c r="F1050" s="84" t="s">
        <v>1043</v>
      </c>
    </row>
    <row r="1051" spans="1:6" hidden="1" x14ac:dyDescent="0.25">
      <c r="A1051" s="85">
        <v>8440</v>
      </c>
      <c r="B1051" s="85">
        <v>8440</v>
      </c>
      <c r="C1051" s="84" t="s">
        <v>958</v>
      </c>
      <c r="D1051" s="84" t="s">
        <v>2782</v>
      </c>
      <c r="E1051" s="84" t="s">
        <v>955</v>
      </c>
      <c r="F1051" s="84" t="s">
        <v>1043</v>
      </c>
    </row>
    <row r="1052" spans="1:6" hidden="1" x14ac:dyDescent="0.25">
      <c r="A1052" s="85">
        <v>8441</v>
      </c>
      <c r="B1052" s="85">
        <v>8441</v>
      </c>
      <c r="C1052" s="84" t="s">
        <v>958</v>
      </c>
      <c r="D1052" s="84" t="s">
        <v>2783</v>
      </c>
      <c r="E1052" s="84" t="s">
        <v>955</v>
      </c>
      <c r="F1052" s="84" t="s">
        <v>1043</v>
      </c>
    </row>
    <row r="1053" spans="1:6" hidden="1" x14ac:dyDescent="0.25">
      <c r="A1053" s="85">
        <v>8442</v>
      </c>
      <c r="B1053" s="85">
        <v>8442</v>
      </c>
      <c r="C1053" s="84" t="s">
        <v>958</v>
      </c>
      <c r="D1053" s="84" t="s">
        <v>2784</v>
      </c>
      <c r="E1053" s="84" t="s">
        <v>955</v>
      </c>
      <c r="F1053" s="84" t="s">
        <v>1043</v>
      </c>
    </row>
    <row r="1054" spans="1:6" hidden="1" x14ac:dyDescent="0.25">
      <c r="A1054" s="85">
        <v>8443</v>
      </c>
      <c r="B1054" s="85">
        <v>8443</v>
      </c>
      <c r="C1054" s="84" t="s">
        <v>958</v>
      </c>
      <c r="D1054" s="84" t="s">
        <v>2785</v>
      </c>
      <c r="E1054" s="84" t="s">
        <v>955</v>
      </c>
      <c r="F1054" s="84" t="s">
        <v>1043</v>
      </c>
    </row>
    <row r="1055" spans="1:6" hidden="1" x14ac:dyDescent="0.25">
      <c r="A1055" s="85">
        <v>8510</v>
      </c>
      <c r="B1055" s="85">
        <v>8510</v>
      </c>
      <c r="C1055" s="84" t="s">
        <v>958</v>
      </c>
      <c r="D1055" s="84" t="s">
        <v>1283</v>
      </c>
      <c r="E1055" s="84" t="s">
        <v>955</v>
      </c>
      <c r="F1055" s="84" t="s">
        <v>1043</v>
      </c>
    </row>
    <row r="1056" spans="1:6" hidden="1" x14ac:dyDescent="0.25">
      <c r="A1056" s="85">
        <v>8511</v>
      </c>
      <c r="B1056" s="85">
        <v>8511</v>
      </c>
      <c r="C1056" s="84" t="s">
        <v>958</v>
      </c>
      <c r="D1056" s="84" t="s">
        <v>1284</v>
      </c>
      <c r="E1056" s="84" t="s">
        <v>955</v>
      </c>
      <c r="F1056" s="84" t="s">
        <v>1043</v>
      </c>
    </row>
    <row r="1057" spans="1:6" hidden="1" x14ac:dyDescent="0.25">
      <c r="A1057" s="85">
        <v>8515</v>
      </c>
      <c r="B1057" s="85">
        <v>8515</v>
      </c>
      <c r="C1057" s="84" t="s">
        <v>958</v>
      </c>
      <c r="D1057" s="84" t="s">
        <v>422</v>
      </c>
      <c r="E1057" s="84" t="s">
        <v>955</v>
      </c>
      <c r="F1057" s="84" t="s">
        <v>1043</v>
      </c>
    </row>
    <row r="1058" spans="1:6" hidden="1" x14ac:dyDescent="0.25">
      <c r="A1058" s="85">
        <v>8516</v>
      </c>
      <c r="B1058" s="85">
        <v>8516</v>
      </c>
      <c r="C1058" s="84" t="s">
        <v>958</v>
      </c>
      <c r="D1058" s="84" t="s">
        <v>422</v>
      </c>
      <c r="E1058" s="84" t="s">
        <v>955</v>
      </c>
      <c r="F1058" s="84" t="s">
        <v>1043</v>
      </c>
    </row>
    <row r="1059" spans="1:6" hidden="1" x14ac:dyDescent="0.25">
      <c r="A1059" s="85">
        <v>8517</v>
      </c>
      <c r="B1059" s="85">
        <v>8517</v>
      </c>
      <c r="C1059" s="84" t="s">
        <v>958</v>
      </c>
      <c r="D1059" s="84" t="s">
        <v>405</v>
      </c>
      <c r="E1059" s="84" t="s">
        <v>955</v>
      </c>
      <c r="F1059" s="84" t="s">
        <v>1043</v>
      </c>
    </row>
    <row r="1060" spans="1:6" hidden="1" x14ac:dyDescent="0.25">
      <c r="A1060" s="85">
        <v>8518</v>
      </c>
      <c r="B1060" s="85">
        <v>8518</v>
      </c>
      <c r="C1060" s="84" t="s">
        <v>958</v>
      </c>
      <c r="D1060" s="84" t="s">
        <v>2786</v>
      </c>
      <c r="E1060" s="84" t="s">
        <v>955</v>
      </c>
      <c r="F1060" s="84" t="s">
        <v>1043</v>
      </c>
    </row>
    <row r="1061" spans="1:6" hidden="1" x14ac:dyDescent="0.25">
      <c r="A1061" s="85">
        <v>8519</v>
      </c>
      <c r="B1061" s="85">
        <v>8519</v>
      </c>
      <c r="C1061" s="84" t="s">
        <v>958</v>
      </c>
      <c r="D1061" s="84" t="s">
        <v>739</v>
      </c>
      <c r="E1061" s="84" t="s">
        <v>955</v>
      </c>
      <c r="F1061" s="84" t="s">
        <v>1043</v>
      </c>
    </row>
    <row r="1062" spans="1:6" hidden="1" x14ac:dyDescent="0.25">
      <c r="A1062" s="85">
        <v>8700</v>
      </c>
      <c r="B1062" s="85">
        <v>8700</v>
      </c>
      <c r="C1062" s="84" t="s">
        <v>958</v>
      </c>
      <c r="D1062" s="84" t="s">
        <v>423</v>
      </c>
      <c r="E1062" s="84" t="s">
        <v>955</v>
      </c>
      <c r="F1062" s="84" t="s">
        <v>1043</v>
      </c>
    </row>
    <row r="1063" spans="1:6" hidden="1" x14ac:dyDescent="0.25">
      <c r="A1063" s="85">
        <v>8705</v>
      </c>
      <c r="B1063" s="85">
        <v>8705</v>
      </c>
      <c r="C1063" s="84" t="s">
        <v>958</v>
      </c>
      <c r="D1063" s="84" t="s">
        <v>1285</v>
      </c>
      <c r="E1063" s="84" t="s">
        <v>955</v>
      </c>
      <c r="F1063" s="84" t="s">
        <v>1043</v>
      </c>
    </row>
    <row r="1064" spans="1:6" hidden="1" x14ac:dyDescent="0.25">
      <c r="A1064" s="85">
        <v>8706</v>
      </c>
      <c r="B1064" s="85">
        <v>8706</v>
      </c>
      <c r="C1064" s="84" t="s">
        <v>958</v>
      </c>
      <c r="D1064" s="84" t="s">
        <v>1286</v>
      </c>
      <c r="E1064" s="84" t="s">
        <v>955</v>
      </c>
      <c r="F1064" s="84" t="s">
        <v>1043</v>
      </c>
    </row>
    <row r="1065" spans="1:6" hidden="1" x14ac:dyDescent="0.25">
      <c r="A1065" s="85">
        <v>8800</v>
      </c>
      <c r="B1065" s="85">
        <v>8800</v>
      </c>
      <c r="C1065" s="84" t="s">
        <v>958</v>
      </c>
      <c r="D1065" s="84" t="s">
        <v>2787</v>
      </c>
      <c r="E1065" s="84" t="s">
        <v>955</v>
      </c>
      <c r="F1065" s="84" t="s">
        <v>1043</v>
      </c>
    </row>
    <row r="1066" spans="1:6" hidden="1" x14ac:dyDescent="0.25">
      <c r="A1066" s="85">
        <v>8801</v>
      </c>
      <c r="B1066" s="85">
        <v>8801</v>
      </c>
      <c r="C1066" s="84" t="s">
        <v>958</v>
      </c>
      <c r="D1066" s="84" t="s">
        <v>2788</v>
      </c>
      <c r="E1066" s="84" t="s">
        <v>955</v>
      </c>
      <c r="F1066" s="84" t="s">
        <v>1043</v>
      </c>
    </row>
    <row r="1067" spans="1:6" hidden="1" x14ac:dyDescent="0.25">
      <c r="A1067" s="85">
        <v>8998</v>
      </c>
      <c r="B1067" s="85">
        <v>8998</v>
      </c>
      <c r="C1067" s="84" t="s">
        <v>958</v>
      </c>
      <c r="D1067" s="84" t="s">
        <v>2789</v>
      </c>
      <c r="E1067" s="84" t="s">
        <v>955</v>
      </c>
      <c r="F1067" s="84" t="s">
        <v>1043</v>
      </c>
    </row>
    <row r="1068" spans="1:6" hidden="1" x14ac:dyDescent="0.25">
      <c r="A1068" s="85">
        <v>8999</v>
      </c>
      <c r="B1068" s="85">
        <v>8999</v>
      </c>
      <c r="C1068" s="84" t="s">
        <v>958</v>
      </c>
      <c r="D1068" s="84" t="s">
        <v>2790</v>
      </c>
      <c r="E1068" s="84" t="s">
        <v>955</v>
      </c>
      <c r="F1068" s="84" t="s">
        <v>1043</v>
      </c>
    </row>
    <row r="1069" spans="1:6" hidden="1" x14ac:dyDescent="0.25">
      <c r="A1069" s="85">
        <v>9007</v>
      </c>
      <c r="B1069" s="85">
        <v>9007</v>
      </c>
      <c r="C1069" s="84" t="s">
        <v>958</v>
      </c>
      <c r="D1069" s="84" t="s">
        <v>424</v>
      </c>
      <c r="E1069" s="84" t="s">
        <v>955</v>
      </c>
      <c r="F1069" s="84" t="s">
        <v>1043</v>
      </c>
    </row>
    <row r="1070" spans="1:6" hidden="1" x14ac:dyDescent="0.25">
      <c r="A1070" s="85">
        <v>9008</v>
      </c>
      <c r="B1070" s="85">
        <v>9008</v>
      </c>
      <c r="C1070" s="84" t="s">
        <v>958</v>
      </c>
      <c r="D1070" s="84" t="s">
        <v>2791</v>
      </c>
      <c r="E1070" s="84" t="s">
        <v>955</v>
      </c>
      <c r="F1070" s="84" t="s">
        <v>1043</v>
      </c>
    </row>
    <row r="1071" spans="1:6" hidden="1" x14ac:dyDescent="0.25">
      <c r="A1071" s="85">
        <v>9012</v>
      </c>
      <c r="B1071" s="85">
        <v>9012</v>
      </c>
      <c r="C1071" s="84" t="s">
        <v>958</v>
      </c>
      <c r="D1071" s="84" t="s">
        <v>2792</v>
      </c>
      <c r="E1071" s="84" t="s">
        <v>955</v>
      </c>
      <c r="F1071" s="84" t="s">
        <v>1043</v>
      </c>
    </row>
    <row r="1072" spans="1:6" hidden="1" x14ac:dyDescent="0.25">
      <c r="A1072" s="85">
        <v>9015</v>
      </c>
      <c r="B1072" s="85">
        <v>9015</v>
      </c>
      <c r="C1072" s="84" t="s">
        <v>958</v>
      </c>
      <c r="D1072" s="84" t="s">
        <v>2793</v>
      </c>
      <c r="E1072" s="84" t="s">
        <v>955</v>
      </c>
      <c r="F1072" s="84" t="s">
        <v>1043</v>
      </c>
    </row>
    <row r="1073" spans="1:6" hidden="1" x14ac:dyDescent="0.25">
      <c r="A1073" s="85">
        <v>9027</v>
      </c>
      <c r="B1073" s="85">
        <v>9027</v>
      </c>
      <c r="C1073" s="84" t="s">
        <v>958</v>
      </c>
      <c r="D1073" s="84" t="s">
        <v>425</v>
      </c>
      <c r="E1073" s="84" t="s">
        <v>955</v>
      </c>
      <c r="F1073" s="84" t="s">
        <v>1043</v>
      </c>
    </row>
    <row r="1074" spans="1:6" hidden="1" x14ac:dyDescent="0.25">
      <c r="A1074" s="85">
        <v>9052</v>
      </c>
      <c r="B1074" s="85">
        <v>9052</v>
      </c>
      <c r="C1074" s="84" t="s">
        <v>958</v>
      </c>
      <c r="D1074" s="84" t="s">
        <v>2794</v>
      </c>
      <c r="E1074" s="84" t="s">
        <v>955</v>
      </c>
      <c r="F1074" s="84" t="s">
        <v>1043</v>
      </c>
    </row>
    <row r="1075" spans="1:6" hidden="1" x14ac:dyDescent="0.25">
      <c r="A1075" s="85">
        <v>9061</v>
      </c>
      <c r="B1075" s="85">
        <v>9061</v>
      </c>
      <c r="C1075" s="84" t="s">
        <v>958</v>
      </c>
      <c r="D1075" s="84" t="s">
        <v>1287</v>
      </c>
      <c r="E1075" s="84" t="s">
        <v>955</v>
      </c>
      <c r="F1075" s="84" t="s">
        <v>1043</v>
      </c>
    </row>
    <row r="1076" spans="1:6" hidden="1" x14ac:dyDescent="0.25">
      <c r="A1076" s="85">
        <v>9062</v>
      </c>
      <c r="B1076" s="85">
        <v>9062</v>
      </c>
      <c r="C1076" s="84" t="s">
        <v>958</v>
      </c>
      <c r="D1076" s="84" t="s">
        <v>2795</v>
      </c>
      <c r="E1076" s="84" t="s">
        <v>955</v>
      </c>
      <c r="F1076" s="84" t="s">
        <v>1043</v>
      </c>
    </row>
    <row r="1077" spans="1:6" hidden="1" x14ac:dyDescent="0.25">
      <c r="A1077" s="85">
        <v>9066</v>
      </c>
      <c r="B1077" s="85">
        <v>9066</v>
      </c>
      <c r="C1077" s="84" t="s">
        <v>958</v>
      </c>
      <c r="D1077" s="84" t="s">
        <v>426</v>
      </c>
      <c r="E1077" s="84" t="s">
        <v>955</v>
      </c>
      <c r="F1077" s="84" t="s">
        <v>1043</v>
      </c>
    </row>
    <row r="1078" spans="1:6" hidden="1" x14ac:dyDescent="0.25">
      <c r="A1078" s="85">
        <v>9077</v>
      </c>
      <c r="B1078" s="85">
        <v>9077</v>
      </c>
      <c r="C1078" s="84" t="s">
        <v>958</v>
      </c>
      <c r="D1078" s="84" t="s">
        <v>1288</v>
      </c>
      <c r="E1078" s="84" t="s">
        <v>955</v>
      </c>
      <c r="F1078" s="84" t="s">
        <v>1043</v>
      </c>
    </row>
    <row r="1079" spans="1:6" hidden="1" x14ac:dyDescent="0.25">
      <c r="A1079" s="85">
        <v>9078</v>
      </c>
      <c r="B1079" s="85">
        <v>9078</v>
      </c>
      <c r="C1079" s="84" t="s">
        <v>958</v>
      </c>
      <c r="D1079" s="84" t="s">
        <v>2796</v>
      </c>
      <c r="E1079" s="84" t="s">
        <v>955</v>
      </c>
      <c r="F1079" s="84" t="s">
        <v>1043</v>
      </c>
    </row>
    <row r="1080" spans="1:6" hidden="1" x14ac:dyDescent="0.25">
      <c r="A1080" s="85">
        <v>9079</v>
      </c>
      <c r="B1080" s="85">
        <v>9079</v>
      </c>
      <c r="C1080" s="84" t="s">
        <v>958</v>
      </c>
      <c r="D1080" s="84" t="s">
        <v>2797</v>
      </c>
      <c r="E1080" s="84" t="s">
        <v>955</v>
      </c>
      <c r="F1080" s="84" t="s">
        <v>1043</v>
      </c>
    </row>
    <row r="1081" spans="1:6" hidden="1" x14ac:dyDescent="0.25">
      <c r="A1081" s="85">
        <v>9082</v>
      </c>
      <c r="B1081" s="85">
        <v>9082</v>
      </c>
      <c r="C1081" s="84" t="s">
        <v>958</v>
      </c>
      <c r="D1081" s="84" t="s">
        <v>2798</v>
      </c>
      <c r="E1081" s="84" t="s">
        <v>955</v>
      </c>
      <c r="F1081" s="84" t="s">
        <v>1043</v>
      </c>
    </row>
    <row r="1082" spans="1:6" hidden="1" x14ac:dyDescent="0.25">
      <c r="A1082" s="85">
        <v>9085</v>
      </c>
      <c r="B1082" s="85">
        <v>9085</v>
      </c>
      <c r="C1082" s="84" t="s">
        <v>958</v>
      </c>
      <c r="D1082" s="84" t="s">
        <v>1289</v>
      </c>
      <c r="E1082" s="84" t="s">
        <v>955</v>
      </c>
      <c r="F1082" s="84" t="s">
        <v>1043</v>
      </c>
    </row>
    <row r="1083" spans="1:6" hidden="1" x14ac:dyDescent="0.25">
      <c r="A1083" s="85">
        <v>9086</v>
      </c>
      <c r="B1083" s="85">
        <v>9086</v>
      </c>
      <c r="C1083" s="84" t="s">
        <v>958</v>
      </c>
      <c r="D1083" s="84" t="s">
        <v>2799</v>
      </c>
      <c r="E1083" s="84" t="s">
        <v>955</v>
      </c>
      <c r="F1083" s="84" t="s">
        <v>1043</v>
      </c>
    </row>
    <row r="1084" spans="1:6" hidden="1" x14ac:dyDescent="0.25">
      <c r="A1084" s="85">
        <v>9108</v>
      </c>
      <c r="B1084" s="85">
        <v>9108</v>
      </c>
      <c r="C1084" s="84" t="s">
        <v>958</v>
      </c>
      <c r="D1084" s="84" t="s">
        <v>1290</v>
      </c>
      <c r="E1084" s="84" t="s">
        <v>955</v>
      </c>
      <c r="F1084" s="84" t="s">
        <v>1043</v>
      </c>
    </row>
    <row r="1085" spans="1:6" hidden="1" x14ac:dyDescent="0.25">
      <c r="A1085" s="85">
        <v>9114</v>
      </c>
      <c r="B1085" s="85">
        <v>9114</v>
      </c>
      <c r="C1085" s="84" t="s">
        <v>958</v>
      </c>
      <c r="D1085" s="84" t="s">
        <v>2575</v>
      </c>
      <c r="E1085" s="84" t="s">
        <v>955</v>
      </c>
      <c r="F1085" s="84" t="s">
        <v>1043</v>
      </c>
    </row>
    <row r="1086" spans="1:6" hidden="1" x14ac:dyDescent="0.25">
      <c r="A1086" s="85">
        <v>9118</v>
      </c>
      <c r="B1086" s="85">
        <v>9118</v>
      </c>
      <c r="C1086" s="84" t="s">
        <v>958</v>
      </c>
      <c r="D1086" s="84" t="s">
        <v>1291</v>
      </c>
      <c r="E1086" s="84" t="s">
        <v>955</v>
      </c>
      <c r="F1086" s="84" t="s">
        <v>1043</v>
      </c>
    </row>
    <row r="1087" spans="1:6" hidden="1" x14ac:dyDescent="0.25">
      <c r="A1087" s="85">
        <v>9122</v>
      </c>
      <c r="B1087" s="85">
        <v>9122</v>
      </c>
      <c r="C1087" s="84" t="s">
        <v>958</v>
      </c>
      <c r="D1087" s="84" t="s">
        <v>1292</v>
      </c>
      <c r="E1087" s="84" t="s">
        <v>955</v>
      </c>
      <c r="F1087" s="84" t="s">
        <v>1043</v>
      </c>
    </row>
    <row r="1088" spans="1:6" hidden="1" x14ac:dyDescent="0.25">
      <c r="A1088" s="85">
        <v>9125</v>
      </c>
      <c r="B1088" s="85">
        <v>9125</v>
      </c>
      <c r="C1088" s="84" t="s">
        <v>958</v>
      </c>
      <c r="D1088" s="84" t="s">
        <v>2800</v>
      </c>
      <c r="E1088" s="84" t="s">
        <v>955</v>
      </c>
      <c r="F1088" s="84" t="s">
        <v>1043</v>
      </c>
    </row>
    <row r="1089" spans="1:6" hidden="1" x14ac:dyDescent="0.25">
      <c r="A1089" s="85">
        <v>9129</v>
      </c>
      <c r="B1089" s="85">
        <v>9129</v>
      </c>
      <c r="C1089" s="84" t="s">
        <v>958</v>
      </c>
      <c r="D1089" s="84" t="s">
        <v>1293</v>
      </c>
      <c r="E1089" s="84" t="s">
        <v>955</v>
      </c>
      <c r="F1089" s="84" t="s">
        <v>1043</v>
      </c>
    </row>
    <row r="1090" spans="1:6" hidden="1" x14ac:dyDescent="0.25">
      <c r="A1090" s="85">
        <v>9177</v>
      </c>
      <c r="B1090" s="85">
        <v>9177</v>
      </c>
      <c r="C1090" s="84" t="s">
        <v>958</v>
      </c>
      <c r="D1090" s="84" t="s">
        <v>1294</v>
      </c>
      <c r="E1090" s="84" t="s">
        <v>955</v>
      </c>
      <c r="F1090" s="84" t="s">
        <v>1043</v>
      </c>
    </row>
    <row r="1091" spans="1:6" hidden="1" x14ac:dyDescent="0.25">
      <c r="A1091" s="85">
        <v>9179</v>
      </c>
      <c r="B1091" s="85">
        <v>9179</v>
      </c>
      <c r="C1091" s="84" t="s">
        <v>958</v>
      </c>
      <c r="D1091" s="84" t="s">
        <v>2801</v>
      </c>
      <c r="E1091" s="84" t="s">
        <v>955</v>
      </c>
      <c r="F1091" s="84" t="s">
        <v>1043</v>
      </c>
    </row>
    <row r="1092" spans="1:6" hidden="1" x14ac:dyDescent="0.25">
      <c r="A1092" s="85">
        <v>9180</v>
      </c>
      <c r="B1092" s="85">
        <v>9180</v>
      </c>
      <c r="C1092" s="84" t="s">
        <v>958</v>
      </c>
      <c r="D1092" s="84" t="s">
        <v>2802</v>
      </c>
      <c r="E1092" s="84" t="s">
        <v>955</v>
      </c>
      <c r="F1092" s="84" t="s">
        <v>1043</v>
      </c>
    </row>
    <row r="1093" spans="1:6" hidden="1" x14ac:dyDescent="0.25">
      <c r="A1093" s="85">
        <v>9181</v>
      </c>
      <c r="B1093" s="85">
        <v>9181</v>
      </c>
      <c r="C1093" s="84" t="s">
        <v>958</v>
      </c>
      <c r="D1093" s="84" t="s">
        <v>2803</v>
      </c>
      <c r="E1093" s="84" t="s">
        <v>955</v>
      </c>
      <c r="F1093" s="84" t="s">
        <v>1043</v>
      </c>
    </row>
    <row r="1094" spans="1:6" hidden="1" x14ac:dyDescent="0.25">
      <c r="A1094" s="85">
        <v>9188</v>
      </c>
      <c r="B1094" s="85">
        <v>9188</v>
      </c>
      <c r="C1094" s="84" t="s">
        <v>958</v>
      </c>
      <c r="D1094" s="84" t="s">
        <v>428</v>
      </c>
      <c r="E1094" s="84" t="s">
        <v>955</v>
      </c>
      <c r="F1094" s="84" t="s">
        <v>1043</v>
      </c>
    </row>
    <row r="1095" spans="1:6" hidden="1" x14ac:dyDescent="0.25">
      <c r="A1095" s="85">
        <v>9189</v>
      </c>
      <c r="B1095" s="85">
        <v>9189</v>
      </c>
      <c r="C1095" s="84" t="s">
        <v>958</v>
      </c>
      <c r="D1095" s="84" t="s">
        <v>429</v>
      </c>
      <c r="E1095" s="84" t="s">
        <v>955</v>
      </c>
      <c r="F1095" s="84" t="s">
        <v>1043</v>
      </c>
    </row>
    <row r="1096" spans="1:6" hidden="1" x14ac:dyDescent="0.25">
      <c r="A1096" s="85">
        <v>9191</v>
      </c>
      <c r="B1096" s="85">
        <v>9191</v>
      </c>
      <c r="C1096" s="84" t="s">
        <v>958</v>
      </c>
      <c r="D1096" s="84" t="s">
        <v>430</v>
      </c>
      <c r="E1096" s="84" t="s">
        <v>955</v>
      </c>
      <c r="F1096" s="84" t="s">
        <v>1043</v>
      </c>
    </row>
    <row r="1097" spans="1:6" hidden="1" x14ac:dyDescent="0.25">
      <c r="A1097" s="85">
        <v>9192</v>
      </c>
      <c r="B1097" s="85">
        <v>9192</v>
      </c>
      <c r="C1097" s="84" t="s">
        <v>958</v>
      </c>
      <c r="D1097" s="84" t="s">
        <v>431</v>
      </c>
      <c r="E1097" s="84" t="s">
        <v>955</v>
      </c>
      <c r="F1097" s="84" t="s">
        <v>1043</v>
      </c>
    </row>
    <row r="1098" spans="1:6" hidden="1" x14ac:dyDescent="0.25">
      <c r="A1098" s="85">
        <v>9193</v>
      </c>
      <c r="B1098" s="85">
        <v>9193</v>
      </c>
      <c r="C1098" s="84" t="s">
        <v>958</v>
      </c>
      <c r="D1098" s="84" t="s">
        <v>2804</v>
      </c>
      <c r="E1098" s="84" t="s">
        <v>955</v>
      </c>
      <c r="F1098" s="84" t="s">
        <v>1043</v>
      </c>
    </row>
    <row r="1099" spans="1:6" hidden="1" x14ac:dyDescent="0.25">
      <c r="A1099" s="85">
        <v>9194</v>
      </c>
      <c r="B1099" s="85">
        <v>9194</v>
      </c>
      <c r="C1099" s="84" t="s">
        <v>958</v>
      </c>
      <c r="D1099" s="84" t="s">
        <v>2805</v>
      </c>
      <c r="E1099" s="84" t="s">
        <v>955</v>
      </c>
      <c r="F1099" s="84" t="s">
        <v>1043</v>
      </c>
    </row>
    <row r="1100" spans="1:6" hidden="1" x14ac:dyDescent="0.25">
      <c r="A1100" s="85">
        <v>9195</v>
      </c>
      <c r="B1100" s="85">
        <v>9195</v>
      </c>
      <c r="C1100" s="84" t="s">
        <v>958</v>
      </c>
      <c r="D1100" s="84" t="s">
        <v>1295</v>
      </c>
      <c r="E1100" s="84" t="s">
        <v>955</v>
      </c>
      <c r="F1100" s="84" t="s">
        <v>1043</v>
      </c>
    </row>
    <row r="1101" spans="1:6" hidden="1" x14ac:dyDescent="0.25">
      <c r="A1101" s="85">
        <v>9196</v>
      </c>
      <c r="B1101" s="85">
        <v>9196</v>
      </c>
      <c r="C1101" s="84" t="s">
        <v>958</v>
      </c>
      <c r="D1101" s="84" t="s">
        <v>433</v>
      </c>
      <c r="E1101" s="84" t="s">
        <v>955</v>
      </c>
      <c r="F1101" s="84" t="s">
        <v>1043</v>
      </c>
    </row>
    <row r="1102" spans="1:6" hidden="1" x14ac:dyDescent="0.25">
      <c r="A1102" s="85">
        <v>9197</v>
      </c>
      <c r="B1102" s="85">
        <v>9197</v>
      </c>
      <c r="C1102" s="84" t="s">
        <v>958</v>
      </c>
      <c r="D1102" s="84" t="s">
        <v>434</v>
      </c>
      <c r="E1102" s="84" t="s">
        <v>955</v>
      </c>
      <c r="F1102" s="84" t="s">
        <v>1043</v>
      </c>
    </row>
    <row r="1103" spans="1:6" hidden="1" x14ac:dyDescent="0.25">
      <c r="A1103" s="85">
        <v>9201</v>
      </c>
      <c r="B1103" s="85">
        <v>9201</v>
      </c>
      <c r="C1103" s="84" t="s">
        <v>958</v>
      </c>
      <c r="D1103" s="84" t="s">
        <v>2806</v>
      </c>
      <c r="E1103" s="84" t="s">
        <v>955</v>
      </c>
      <c r="F1103" s="84" t="s">
        <v>1043</v>
      </c>
    </row>
    <row r="1104" spans="1:6" hidden="1" x14ac:dyDescent="0.25">
      <c r="A1104" s="85">
        <v>9202</v>
      </c>
      <c r="B1104" s="85">
        <v>9202</v>
      </c>
      <c r="C1104" s="84" t="s">
        <v>958</v>
      </c>
      <c r="D1104" s="84" t="s">
        <v>2807</v>
      </c>
      <c r="E1104" s="84" t="s">
        <v>955</v>
      </c>
      <c r="F1104" s="84" t="s">
        <v>1043</v>
      </c>
    </row>
    <row r="1105" spans="1:6" hidden="1" x14ac:dyDescent="0.25">
      <c r="A1105" s="85">
        <v>9208</v>
      </c>
      <c r="B1105" s="85">
        <v>9208</v>
      </c>
      <c r="C1105" s="84" t="s">
        <v>958</v>
      </c>
      <c r="D1105" s="84" t="s">
        <v>1296</v>
      </c>
      <c r="E1105" s="84" t="s">
        <v>955</v>
      </c>
      <c r="F1105" s="84" t="s">
        <v>1043</v>
      </c>
    </row>
    <row r="1106" spans="1:6" hidden="1" x14ac:dyDescent="0.25">
      <c r="A1106" s="85">
        <v>9211</v>
      </c>
      <c r="B1106" s="85">
        <v>9211</v>
      </c>
      <c r="C1106" s="84" t="s">
        <v>958</v>
      </c>
      <c r="D1106" s="84" t="s">
        <v>1297</v>
      </c>
      <c r="E1106" s="84" t="s">
        <v>955</v>
      </c>
      <c r="F1106" s="84" t="s">
        <v>1043</v>
      </c>
    </row>
    <row r="1107" spans="1:6" hidden="1" x14ac:dyDescent="0.25">
      <c r="A1107" s="85">
        <v>9212</v>
      </c>
      <c r="B1107" s="85">
        <v>9212</v>
      </c>
      <c r="C1107" s="84" t="s">
        <v>958</v>
      </c>
      <c r="D1107" s="84" t="s">
        <v>435</v>
      </c>
      <c r="E1107" s="84" t="s">
        <v>955</v>
      </c>
      <c r="F1107" s="84" t="s">
        <v>1043</v>
      </c>
    </row>
    <row r="1108" spans="1:6" hidden="1" x14ac:dyDescent="0.25">
      <c r="A1108" s="85">
        <v>9215</v>
      </c>
      <c r="B1108" s="85">
        <v>9215</v>
      </c>
      <c r="C1108" s="84" t="s">
        <v>958</v>
      </c>
      <c r="D1108" s="84" t="s">
        <v>1298</v>
      </c>
      <c r="E1108" s="84" t="s">
        <v>955</v>
      </c>
      <c r="F1108" s="84" t="s">
        <v>1043</v>
      </c>
    </row>
    <row r="1109" spans="1:6" hidden="1" x14ac:dyDescent="0.25">
      <c r="A1109" s="85">
        <v>9217</v>
      </c>
      <c r="B1109" s="85">
        <v>9217</v>
      </c>
      <c r="C1109" s="84" t="s">
        <v>958</v>
      </c>
      <c r="D1109" s="84" t="s">
        <v>2808</v>
      </c>
      <c r="E1109" s="84" t="s">
        <v>955</v>
      </c>
      <c r="F1109" s="84" t="s">
        <v>1043</v>
      </c>
    </row>
    <row r="1110" spans="1:6" hidden="1" x14ac:dyDescent="0.25">
      <c r="A1110" s="85">
        <v>9218</v>
      </c>
      <c r="B1110" s="85">
        <v>9218</v>
      </c>
      <c r="C1110" s="84" t="s">
        <v>958</v>
      </c>
      <c r="D1110" s="84" t="s">
        <v>1299</v>
      </c>
      <c r="E1110" s="84" t="s">
        <v>955</v>
      </c>
      <c r="F1110" s="84" t="s">
        <v>1043</v>
      </c>
    </row>
    <row r="1111" spans="1:6" hidden="1" x14ac:dyDescent="0.25">
      <c r="A1111" s="85">
        <v>9219</v>
      </c>
      <c r="B1111" s="85">
        <v>9219</v>
      </c>
      <c r="C1111" s="84" t="s">
        <v>958</v>
      </c>
      <c r="D1111" s="84" t="s">
        <v>1300</v>
      </c>
      <c r="E1111" s="84" t="s">
        <v>955</v>
      </c>
      <c r="F1111" s="84" t="s">
        <v>1043</v>
      </c>
    </row>
    <row r="1112" spans="1:6" hidden="1" x14ac:dyDescent="0.25">
      <c r="A1112" s="85">
        <v>9237</v>
      </c>
      <c r="B1112" s="85">
        <v>9237</v>
      </c>
      <c r="C1112" s="84" t="s">
        <v>958</v>
      </c>
      <c r="D1112" s="84" t="s">
        <v>1301</v>
      </c>
      <c r="E1112" s="84" t="s">
        <v>955</v>
      </c>
      <c r="F1112" s="84" t="s">
        <v>1043</v>
      </c>
    </row>
    <row r="1113" spans="1:6" hidden="1" x14ac:dyDescent="0.25">
      <c r="A1113" s="85">
        <v>9240</v>
      </c>
      <c r="B1113" s="85">
        <v>9240</v>
      </c>
      <c r="C1113" s="84" t="s">
        <v>958</v>
      </c>
      <c r="D1113" s="84" t="s">
        <v>2809</v>
      </c>
      <c r="E1113" s="84" t="s">
        <v>955</v>
      </c>
      <c r="F1113" s="84" t="s">
        <v>1043</v>
      </c>
    </row>
    <row r="1114" spans="1:6" hidden="1" x14ac:dyDescent="0.25">
      <c r="A1114" s="85">
        <v>9245</v>
      </c>
      <c r="B1114" s="85">
        <v>9245</v>
      </c>
      <c r="C1114" s="84" t="s">
        <v>958</v>
      </c>
      <c r="D1114" s="84" t="s">
        <v>2810</v>
      </c>
      <c r="E1114" s="84" t="s">
        <v>955</v>
      </c>
      <c r="F1114" s="84" t="s">
        <v>1043</v>
      </c>
    </row>
    <row r="1115" spans="1:6" hidden="1" x14ac:dyDescent="0.25">
      <c r="A1115" s="85">
        <v>9253</v>
      </c>
      <c r="B1115" s="85">
        <v>9253</v>
      </c>
      <c r="C1115" s="84" t="s">
        <v>958</v>
      </c>
      <c r="D1115" s="84" t="s">
        <v>2606</v>
      </c>
      <c r="E1115" s="84" t="s">
        <v>955</v>
      </c>
      <c r="F1115" s="84" t="s">
        <v>1043</v>
      </c>
    </row>
    <row r="1116" spans="1:6" hidden="1" x14ac:dyDescent="0.25">
      <c r="A1116" s="85">
        <v>9255</v>
      </c>
      <c r="B1116" s="85">
        <v>9255</v>
      </c>
      <c r="C1116" s="84" t="s">
        <v>958</v>
      </c>
      <c r="D1116" s="84" t="s">
        <v>2605</v>
      </c>
      <c r="E1116" s="84" t="s">
        <v>955</v>
      </c>
      <c r="F1116" s="84" t="s">
        <v>1043</v>
      </c>
    </row>
    <row r="1117" spans="1:6" hidden="1" x14ac:dyDescent="0.25">
      <c r="A1117" s="85">
        <v>9257</v>
      </c>
      <c r="B1117" s="85">
        <v>9257</v>
      </c>
      <c r="C1117" s="84" t="s">
        <v>958</v>
      </c>
      <c r="D1117" s="84" t="s">
        <v>2607</v>
      </c>
      <c r="E1117" s="84" t="s">
        <v>955</v>
      </c>
      <c r="F1117" s="84" t="s">
        <v>1043</v>
      </c>
    </row>
    <row r="1118" spans="1:6" hidden="1" x14ac:dyDescent="0.25">
      <c r="A1118" s="85">
        <v>9258</v>
      </c>
      <c r="B1118" s="85">
        <v>9258</v>
      </c>
      <c r="C1118" s="84" t="s">
        <v>958</v>
      </c>
      <c r="D1118" s="84" t="s">
        <v>2811</v>
      </c>
      <c r="E1118" s="84" t="s">
        <v>955</v>
      </c>
      <c r="F1118" s="84" t="s">
        <v>1043</v>
      </c>
    </row>
    <row r="1119" spans="1:6" hidden="1" x14ac:dyDescent="0.25">
      <c r="A1119" s="85">
        <v>9267</v>
      </c>
      <c r="B1119" s="85">
        <v>9267</v>
      </c>
      <c r="C1119" s="84" t="s">
        <v>958</v>
      </c>
      <c r="D1119" s="84" t="s">
        <v>2775</v>
      </c>
      <c r="E1119" s="84" t="s">
        <v>955</v>
      </c>
      <c r="F1119" s="84" t="s">
        <v>1043</v>
      </c>
    </row>
    <row r="1120" spans="1:6" hidden="1" x14ac:dyDescent="0.25">
      <c r="A1120" s="85">
        <v>9268</v>
      </c>
      <c r="B1120" s="85">
        <v>9268</v>
      </c>
      <c r="C1120" s="84" t="s">
        <v>958</v>
      </c>
      <c r="D1120" s="84" t="s">
        <v>1302</v>
      </c>
      <c r="E1120" s="84" t="s">
        <v>955</v>
      </c>
      <c r="F1120" s="84" t="s">
        <v>1043</v>
      </c>
    </row>
    <row r="1121" spans="1:6" hidden="1" x14ac:dyDescent="0.25">
      <c r="A1121" s="85">
        <v>9269</v>
      </c>
      <c r="B1121" s="85">
        <v>9269</v>
      </c>
      <c r="C1121" s="84" t="s">
        <v>958</v>
      </c>
      <c r="D1121" s="84" t="s">
        <v>2812</v>
      </c>
      <c r="E1121" s="84" t="s">
        <v>955</v>
      </c>
      <c r="F1121" s="84" t="s">
        <v>1043</v>
      </c>
    </row>
    <row r="1122" spans="1:6" hidden="1" x14ac:dyDescent="0.25">
      <c r="A1122" s="85">
        <v>9270</v>
      </c>
      <c r="B1122" s="85">
        <v>9270</v>
      </c>
      <c r="C1122" s="84" t="s">
        <v>958</v>
      </c>
      <c r="D1122" s="84" t="s">
        <v>2813</v>
      </c>
      <c r="E1122" s="84" t="s">
        <v>955</v>
      </c>
      <c r="F1122" s="84" t="s">
        <v>1043</v>
      </c>
    </row>
    <row r="1123" spans="1:6" hidden="1" x14ac:dyDescent="0.25">
      <c r="A1123" s="85">
        <v>9273</v>
      </c>
      <c r="B1123" s="85">
        <v>9273</v>
      </c>
      <c r="C1123" s="84" t="s">
        <v>958</v>
      </c>
      <c r="D1123" s="84" t="s">
        <v>1303</v>
      </c>
      <c r="E1123" s="84" t="s">
        <v>955</v>
      </c>
      <c r="F1123" s="84" t="s">
        <v>1043</v>
      </c>
    </row>
    <row r="1124" spans="1:6" hidden="1" x14ac:dyDescent="0.25">
      <c r="A1124" s="85">
        <v>9274</v>
      </c>
      <c r="B1124" s="85">
        <v>9274</v>
      </c>
      <c r="C1124" s="84" t="s">
        <v>958</v>
      </c>
      <c r="D1124" s="84" t="s">
        <v>1304</v>
      </c>
      <c r="E1124" s="84" t="s">
        <v>955</v>
      </c>
      <c r="F1124" s="84" t="s">
        <v>1043</v>
      </c>
    </row>
    <row r="1125" spans="1:6" hidden="1" x14ac:dyDescent="0.25">
      <c r="A1125" s="85">
        <v>9280</v>
      </c>
      <c r="B1125" s="85">
        <v>9280</v>
      </c>
      <c r="C1125" s="84" t="s">
        <v>958</v>
      </c>
      <c r="D1125" s="84" t="s">
        <v>1305</v>
      </c>
      <c r="E1125" s="84" t="s">
        <v>955</v>
      </c>
      <c r="F1125" s="84" t="s">
        <v>1043</v>
      </c>
    </row>
    <row r="1126" spans="1:6" hidden="1" x14ac:dyDescent="0.25">
      <c r="A1126" s="85">
        <v>9281</v>
      </c>
      <c r="B1126" s="85">
        <v>9281</v>
      </c>
      <c r="C1126" s="84" t="s">
        <v>958</v>
      </c>
      <c r="D1126" s="84" t="s">
        <v>2814</v>
      </c>
      <c r="E1126" s="84" t="s">
        <v>955</v>
      </c>
      <c r="F1126" s="84" t="s">
        <v>1043</v>
      </c>
    </row>
    <row r="1127" spans="1:6" hidden="1" x14ac:dyDescent="0.25">
      <c r="A1127" s="85">
        <v>9282</v>
      </c>
      <c r="B1127" s="85">
        <v>9282</v>
      </c>
      <c r="C1127" s="84" t="s">
        <v>958</v>
      </c>
      <c r="D1127" s="84" t="s">
        <v>2815</v>
      </c>
      <c r="E1127" s="84" t="s">
        <v>955</v>
      </c>
      <c r="F1127" s="84" t="s">
        <v>1043</v>
      </c>
    </row>
    <row r="1128" spans="1:6" hidden="1" x14ac:dyDescent="0.25">
      <c r="A1128" s="85">
        <v>9283</v>
      </c>
      <c r="B1128" s="85">
        <v>9283</v>
      </c>
      <c r="C1128" s="84" t="s">
        <v>958</v>
      </c>
      <c r="D1128" s="84" t="s">
        <v>2816</v>
      </c>
      <c r="E1128" s="84" t="s">
        <v>955</v>
      </c>
      <c r="F1128" s="84" t="s">
        <v>1043</v>
      </c>
    </row>
    <row r="1129" spans="1:6" hidden="1" x14ac:dyDescent="0.25">
      <c r="A1129" s="85">
        <v>9284</v>
      </c>
      <c r="B1129" s="85">
        <v>9284</v>
      </c>
      <c r="C1129" s="84" t="s">
        <v>958</v>
      </c>
      <c r="D1129" s="84" t="s">
        <v>2817</v>
      </c>
      <c r="E1129" s="84" t="s">
        <v>955</v>
      </c>
      <c r="F1129" s="84" t="s">
        <v>1043</v>
      </c>
    </row>
    <row r="1130" spans="1:6" hidden="1" x14ac:dyDescent="0.25">
      <c r="A1130" s="85">
        <v>9285</v>
      </c>
      <c r="B1130" s="85">
        <v>9285</v>
      </c>
      <c r="C1130" s="84" t="s">
        <v>958</v>
      </c>
      <c r="D1130" s="84" t="s">
        <v>2818</v>
      </c>
      <c r="E1130" s="84" t="s">
        <v>955</v>
      </c>
      <c r="F1130" s="84" t="s">
        <v>1043</v>
      </c>
    </row>
    <row r="1131" spans="1:6" hidden="1" x14ac:dyDescent="0.25">
      <c r="A1131" s="85">
        <v>9287</v>
      </c>
      <c r="B1131" s="85">
        <v>9287</v>
      </c>
      <c r="C1131" s="84" t="s">
        <v>958</v>
      </c>
      <c r="D1131" s="84" t="s">
        <v>2622</v>
      </c>
      <c r="E1131" s="84" t="s">
        <v>955</v>
      </c>
      <c r="F1131" s="84" t="s">
        <v>1043</v>
      </c>
    </row>
    <row r="1132" spans="1:6" hidden="1" x14ac:dyDescent="0.25">
      <c r="A1132" s="85">
        <v>9312</v>
      </c>
      <c r="B1132" s="85">
        <v>9312</v>
      </c>
      <c r="C1132" s="84" t="s">
        <v>958</v>
      </c>
      <c r="D1132" s="84" t="s">
        <v>436</v>
      </c>
      <c r="E1132" s="84" t="s">
        <v>955</v>
      </c>
      <c r="F1132" s="84" t="s">
        <v>1043</v>
      </c>
    </row>
    <row r="1133" spans="1:6" hidden="1" x14ac:dyDescent="0.25">
      <c r="A1133" s="85">
        <v>9313</v>
      </c>
      <c r="B1133" s="85">
        <v>9313</v>
      </c>
      <c r="C1133" s="84" t="s">
        <v>958</v>
      </c>
      <c r="D1133" s="84" t="s">
        <v>437</v>
      </c>
      <c r="E1133" s="84" t="s">
        <v>955</v>
      </c>
      <c r="F1133" s="84" t="s">
        <v>1043</v>
      </c>
    </row>
    <row r="1134" spans="1:6" hidden="1" x14ac:dyDescent="0.25">
      <c r="A1134" s="85">
        <v>9314</v>
      </c>
      <c r="B1134" s="85">
        <v>9314</v>
      </c>
      <c r="C1134" s="84" t="s">
        <v>958</v>
      </c>
      <c r="D1134" s="84" t="s">
        <v>737</v>
      </c>
      <c r="E1134" s="84" t="s">
        <v>955</v>
      </c>
      <c r="F1134" s="84" t="s">
        <v>1043</v>
      </c>
    </row>
    <row r="1135" spans="1:6" hidden="1" x14ac:dyDescent="0.25">
      <c r="A1135" s="85">
        <v>9315</v>
      </c>
      <c r="B1135" s="85">
        <v>9315</v>
      </c>
      <c r="C1135" s="84" t="s">
        <v>958</v>
      </c>
      <c r="D1135" s="84" t="s">
        <v>1306</v>
      </c>
      <c r="E1135" s="84" t="s">
        <v>955</v>
      </c>
      <c r="F1135" s="84" t="s">
        <v>1043</v>
      </c>
    </row>
    <row r="1136" spans="1:6" hidden="1" x14ac:dyDescent="0.25">
      <c r="A1136" s="85">
        <v>9317</v>
      </c>
      <c r="B1136" s="85">
        <v>9317</v>
      </c>
      <c r="C1136" s="84" t="s">
        <v>958</v>
      </c>
      <c r="D1136" s="84" t="s">
        <v>2819</v>
      </c>
      <c r="E1136" s="84" t="s">
        <v>955</v>
      </c>
      <c r="F1136" s="84" t="s">
        <v>1043</v>
      </c>
    </row>
    <row r="1137" spans="1:6" hidden="1" x14ac:dyDescent="0.25">
      <c r="A1137" s="85">
        <v>9318</v>
      </c>
      <c r="B1137" s="85">
        <v>9318</v>
      </c>
      <c r="C1137" s="84" t="s">
        <v>958</v>
      </c>
      <c r="D1137" s="84" t="s">
        <v>1307</v>
      </c>
      <c r="E1137" s="84" t="s">
        <v>955</v>
      </c>
      <c r="F1137" s="84" t="s">
        <v>1043</v>
      </c>
    </row>
    <row r="1138" spans="1:6" hidden="1" x14ac:dyDescent="0.25">
      <c r="A1138" s="85">
        <v>9319</v>
      </c>
      <c r="B1138" s="85">
        <v>9319</v>
      </c>
      <c r="C1138" s="84" t="s">
        <v>958</v>
      </c>
      <c r="D1138" s="84" t="s">
        <v>1308</v>
      </c>
      <c r="E1138" s="84" t="s">
        <v>955</v>
      </c>
      <c r="F1138" s="84" t="s">
        <v>1043</v>
      </c>
    </row>
    <row r="1139" spans="1:6" hidden="1" x14ac:dyDescent="0.25">
      <c r="A1139" s="85">
        <v>9330</v>
      </c>
      <c r="B1139" s="85">
        <v>9330</v>
      </c>
      <c r="C1139" s="84" t="s">
        <v>958</v>
      </c>
      <c r="D1139" s="84" t="s">
        <v>352</v>
      </c>
      <c r="E1139" s="84" t="s">
        <v>955</v>
      </c>
      <c r="F1139" s="84" t="s">
        <v>1043</v>
      </c>
    </row>
    <row r="1140" spans="1:6" hidden="1" x14ac:dyDescent="0.25">
      <c r="A1140" s="85">
        <v>9331</v>
      </c>
      <c r="B1140" s="85">
        <v>9331</v>
      </c>
      <c r="C1140" s="84" t="s">
        <v>958</v>
      </c>
      <c r="D1140" s="84" t="s">
        <v>1099</v>
      </c>
      <c r="E1140" s="84" t="s">
        <v>955</v>
      </c>
      <c r="F1140" s="84" t="s">
        <v>1043</v>
      </c>
    </row>
    <row r="1141" spans="1:6" hidden="1" x14ac:dyDescent="0.25">
      <c r="A1141" s="85">
        <v>9333</v>
      </c>
      <c r="B1141" s="85">
        <v>9333</v>
      </c>
      <c r="C1141" s="84" t="s">
        <v>958</v>
      </c>
      <c r="D1141" s="84" t="s">
        <v>1309</v>
      </c>
      <c r="E1141" s="84" t="s">
        <v>955</v>
      </c>
      <c r="F1141" s="84" t="s">
        <v>1043</v>
      </c>
    </row>
    <row r="1142" spans="1:6" hidden="1" x14ac:dyDescent="0.25">
      <c r="A1142" s="85">
        <v>9334</v>
      </c>
      <c r="B1142" s="85">
        <v>9334</v>
      </c>
      <c r="C1142" s="84" t="s">
        <v>958</v>
      </c>
      <c r="D1142" s="84" t="s">
        <v>1310</v>
      </c>
      <c r="E1142" s="84" t="s">
        <v>955</v>
      </c>
      <c r="F1142" s="84" t="s">
        <v>1043</v>
      </c>
    </row>
    <row r="1143" spans="1:6" hidden="1" x14ac:dyDescent="0.25">
      <c r="A1143" s="85">
        <v>9348</v>
      </c>
      <c r="B1143" s="85">
        <v>9348</v>
      </c>
      <c r="C1143" s="84" t="s">
        <v>958</v>
      </c>
      <c r="D1143" s="84" t="s">
        <v>438</v>
      </c>
      <c r="E1143" s="84" t="s">
        <v>955</v>
      </c>
      <c r="F1143" s="84" t="s">
        <v>1043</v>
      </c>
    </row>
    <row r="1144" spans="1:6" hidden="1" x14ac:dyDescent="0.25">
      <c r="A1144" s="85">
        <v>9410</v>
      </c>
      <c r="B1144" s="85">
        <v>9410</v>
      </c>
      <c r="C1144" s="84" t="s">
        <v>958</v>
      </c>
      <c r="D1144" s="84" t="s">
        <v>2820</v>
      </c>
      <c r="E1144" s="84" t="s">
        <v>955</v>
      </c>
      <c r="F1144" s="84" t="s">
        <v>1043</v>
      </c>
    </row>
    <row r="1145" spans="1:6" hidden="1" x14ac:dyDescent="0.25">
      <c r="A1145" s="85">
        <v>9411</v>
      </c>
      <c r="B1145" s="85">
        <v>9411</v>
      </c>
      <c r="C1145" s="84" t="s">
        <v>958</v>
      </c>
      <c r="D1145" s="84" t="s">
        <v>2821</v>
      </c>
      <c r="E1145" s="84" t="s">
        <v>955</v>
      </c>
      <c r="F1145" s="84" t="s">
        <v>1043</v>
      </c>
    </row>
    <row r="1146" spans="1:6" hidden="1" x14ac:dyDescent="0.25">
      <c r="A1146" s="85">
        <v>9412</v>
      </c>
      <c r="B1146" s="85">
        <v>9412</v>
      </c>
      <c r="C1146" s="84" t="s">
        <v>958</v>
      </c>
      <c r="D1146" s="84" t="s">
        <v>2822</v>
      </c>
      <c r="E1146" s="84" t="s">
        <v>955</v>
      </c>
      <c r="F1146" s="84" t="s">
        <v>1043</v>
      </c>
    </row>
    <row r="1147" spans="1:6" hidden="1" x14ac:dyDescent="0.25">
      <c r="A1147" s="85">
        <v>9413</v>
      </c>
      <c r="B1147" s="85">
        <v>9413</v>
      </c>
      <c r="C1147" s="84" t="s">
        <v>958</v>
      </c>
      <c r="D1147" s="84" t="s">
        <v>2823</v>
      </c>
      <c r="E1147" s="84" t="s">
        <v>955</v>
      </c>
      <c r="F1147" s="84" t="s">
        <v>1043</v>
      </c>
    </row>
    <row r="1148" spans="1:6" hidden="1" x14ac:dyDescent="0.25">
      <c r="A1148" s="85">
        <v>9414</v>
      </c>
      <c r="B1148" s="85">
        <v>9414</v>
      </c>
      <c r="C1148" s="84" t="s">
        <v>958</v>
      </c>
      <c r="D1148" s="84" t="s">
        <v>2824</v>
      </c>
      <c r="E1148" s="84" t="s">
        <v>955</v>
      </c>
      <c r="F1148" s="84" t="s">
        <v>1043</v>
      </c>
    </row>
    <row r="1149" spans="1:6" hidden="1" x14ac:dyDescent="0.25">
      <c r="A1149" s="85">
        <v>9415</v>
      </c>
      <c r="B1149" s="85">
        <v>9415</v>
      </c>
      <c r="C1149" s="84" t="s">
        <v>958</v>
      </c>
      <c r="D1149" s="84" t="s">
        <v>2825</v>
      </c>
      <c r="E1149" s="84" t="s">
        <v>955</v>
      </c>
      <c r="F1149" s="84" t="s">
        <v>1043</v>
      </c>
    </row>
    <row r="1150" spans="1:6" hidden="1" x14ac:dyDescent="0.25">
      <c r="A1150" s="85">
        <v>9416</v>
      </c>
      <c r="B1150" s="85">
        <v>9416</v>
      </c>
      <c r="C1150" s="84" t="s">
        <v>958</v>
      </c>
      <c r="D1150" s="84" t="s">
        <v>2826</v>
      </c>
      <c r="E1150" s="84" t="s">
        <v>955</v>
      </c>
      <c r="F1150" s="84" t="s">
        <v>1043</v>
      </c>
    </row>
    <row r="1151" spans="1:6" hidden="1" x14ac:dyDescent="0.25">
      <c r="A1151" s="85">
        <v>9417</v>
      </c>
      <c r="B1151" s="85">
        <v>9417</v>
      </c>
      <c r="C1151" s="84" t="s">
        <v>958</v>
      </c>
      <c r="D1151" s="84" t="s">
        <v>2827</v>
      </c>
      <c r="E1151" s="84" t="s">
        <v>955</v>
      </c>
      <c r="F1151" s="84" t="s">
        <v>1043</v>
      </c>
    </row>
    <row r="1152" spans="1:6" hidden="1" x14ac:dyDescent="0.25">
      <c r="A1152" s="85">
        <v>9418</v>
      </c>
      <c r="B1152" s="85">
        <v>9418</v>
      </c>
      <c r="C1152" s="84" t="s">
        <v>958</v>
      </c>
      <c r="D1152" s="84" t="s">
        <v>2828</v>
      </c>
      <c r="E1152" s="84" t="s">
        <v>955</v>
      </c>
      <c r="F1152" s="84" t="s">
        <v>1043</v>
      </c>
    </row>
    <row r="1153" spans="1:6" hidden="1" x14ac:dyDescent="0.25">
      <c r="A1153" s="85">
        <v>9501</v>
      </c>
      <c r="B1153" s="85">
        <v>9501</v>
      </c>
      <c r="C1153" s="84" t="s">
        <v>958</v>
      </c>
      <c r="D1153" s="84" t="s">
        <v>1311</v>
      </c>
      <c r="E1153" s="84" t="s">
        <v>955</v>
      </c>
      <c r="F1153" s="84" t="s">
        <v>1043</v>
      </c>
    </row>
    <row r="1154" spans="1:6" hidden="1" x14ac:dyDescent="0.25">
      <c r="A1154" s="85">
        <v>9502</v>
      </c>
      <c r="B1154" s="85">
        <v>9502</v>
      </c>
      <c r="C1154" s="84" t="s">
        <v>958</v>
      </c>
      <c r="D1154" s="84" t="s">
        <v>2829</v>
      </c>
      <c r="E1154" s="84" t="s">
        <v>955</v>
      </c>
      <c r="F1154" s="84" t="s">
        <v>1043</v>
      </c>
    </row>
    <row r="1155" spans="1:6" hidden="1" x14ac:dyDescent="0.25">
      <c r="A1155" s="85">
        <v>9504</v>
      </c>
      <c r="B1155" s="85">
        <v>9504</v>
      </c>
      <c r="C1155" s="84" t="s">
        <v>958</v>
      </c>
      <c r="D1155" s="84" t="s">
        <v>340</v>
      </c>
      <c r="E1155" s="84" t="s">
        <v>955</v>
      </c>
      <c r="F1155" s="84" t="s">
        <v>1043</v>
      </c>
    </row>
    <row r="1156" spans="1:6" hidden="1" x14ac:dyDescent="0.25">
      <c r="A1156" s="85">
        <v>9505</v>
      </c>
      <c r="B1156" s="85">
        <v>9505</v>
      </c>
      <c r="C1156" s="84" t="s">
        <v>958</v>
      </c>
      <c r="D1156" s="84" t="s">
        <v>340</v>
      </c>
      <c r="E1156" s="84" t="s">
        <v>955</v>
      </c>
      <c r="F1156" s="84" t="s">
        <v>1043</v>
      </c>
    </row>
    <row r="1157" spans="1:6" hidden="1" x14ac:dyDescent="0.25">
      <c r="A1157" s="85">
        <v>9508</v>
      </c>
      <c r="B1157" s="85">
        <v>9508</v>
      </c>
      <c r="C1157" s="84" t="s">
        <v>958</v>
      </c>
      <c r="D1157" s="84" t="s">
        <v>1312</v>
      </c>
      <c r="E1157" s="84" t="s">
        <v>955</v>
      </c>
      <c r="F1157" s="84" t="s">
        <v>1043</v>
      </c>
    </row>
    <row r="1158" spans="1:6" hidden="1" x14ac:dyDescent="0.25">
      <c r="A1158" s="85">
        <v>9509</v>
      </c>
      <c r="B1158" s="85">
        <v>9509</v>
      </c>
      <c r="C1158" s="84" t="s">
        <v>958</v>
      </c>
      <c r="D1158" s="84" t="s">
        <v>1313</v>
      </c>
      <c r="E1158" s="84" t="s">
        <v>955</v>
      </c>
      <c r="F1158" s="84" t="s">
        <v>1043</v>
      </c>
    </row>
    <row r="1159" spans="1:6" hidden="1" x14ac:dyDescent="0.25">
      <c r="A1159" s="85">
        <v>9510</v>
      </c>
      <c r="B1159" s="85">
        <v>9510</v>
      </c>
      <c r="C1159" s="84" t="s">
        <v>958</v>
      </c>
      <c r="D1159" s="84" t="s">
        <v>1314</v>
      </c>
      <c r="E1159" s="84" t="s">
        <v>955</v>
      </c>
      <c r="F1159" s="84" t="s">
        <v>1043</v>
      </c>
    </row>
    <row r="1160" spans="1:6" hidden="1" x14ac:dyDescent="0.25">
      <c r="A1160" s="85">
        <v>9511</v>
      </c>
      <c r="B1160" s="85">
        <v>9511</v>
      </c>
      <c r="C1160" s="84" t="s">
        <v>958</v>
      </c>
      <c r="D1160" s="84" t="s">
        <v>1315</v>
      </c>
      <c r="E1160" s="84" t="s">
        <v>955</v>
      </c>
      <c r="F1160" s="84" t="s">
        <v>1043</v>
      </c>
    </row>
    <row r="1161" spans="1:6" hidden="1" x14ac:dyDescent="0.25">
      <c r="A1161" s="85">
        <v>9512</v>
      </c>
      <c r="B1161" s="85">
        <v>9512</v>
      </c>
      <c r="C1161" s="84" t="s">
        <v>958</v>
      </c>
      <c r="D1161" s="84" t="s">
        <v>439</v>
      </c>
      <c r="E1161" s="84" t="s">
        <v>955</v>
      </c>
      <c r="F1161" s="84" t="s">
        <v>1043</v>
      </c>
    </row>
    <row r="1162" spans="1:6" hidden="1" x14ac:dyDescent="0.25">
      <c r="A1162" s="85">
        <v>9513</v>
      </c>
      <c r="B1162" s="85">
        <v>9513</v>
      </c>
      <c r="C1162" s="84" t="s">
        <v>958</v>
      </c>
      <c r="D1162" s="84" t="s">
        <v>1316</v>
      </c>
      <c r="E1162" s="84" t="s">
        <v>955</v>
      </c>
      <c r="F1162" s="84" t="s">
        <v>1043</v>
      </c>
    </row>
    <row r="1163" spans="1:6" hidden="1" x14ac:dyDescent="0.25">
      <c r="A1163" s="85">
        <v>9514</v>
      </c>
      <c r="B1163" s="85">
        <v>9514</v>
      </c>
      <c r="C1163" s="84" t="s">
        <v>958</v>
      </c>
      <c r="D1163" s="84" t="s">
        <v>1317</v>
      </c>
      <c r="E1163" s="84" t="s">
        <v>955</v>
      </c>
      <c r="F1163" s="84" t="s">
        <v>1043</v>
      </c>
    </row>
    <row r="1164" spans="1:6" hidden="1" x14ac:dyDescent="0.25">
      <c r="A1164" s="85">
        <v>9520</v>
      </c>
      <c r="B1164" s="85">
        <v>9520</v>
      </c>
      <c r="C1164" s="84" t="s">
        <v>958</v>
      </c>
      <c r="D1164" s="84" t="s">
        <v>1318</v>
      </c>
      <c r="E1164" s="84" t="s">
        <v>955</v>
      </c>
      <c r="F1164" s="84" t="s">
        <v>1043</v>
      </c>
    </row>
    <row r="1165" spans="1:6" hidden="1" x14ac:dyDescent="0.25">
      <c r="A1165" s="85">
        <v>9521</v>
      </c>
      <c r="B1165" s="85">
        <v>9521</v>
      </c>
      <c r="C1165" s="84" t="s">
        <v>958</v>
      </c>
      <c r="D1165" s="84" t="s">
        <v>2830</v>
      </c>
      <c r="E1165" s="84" t="s">
        <v>955</v>
      </c>
      <c r="F1165" s="84" t="s">
        <v>1043</v>
      </c>
    </row>
    <row r="1166" spans="1:6" hidden="1" x14ac:dyDescent="0.25">
      <c r="A1166" s="85">
        <v>9522</v>
      </c>
      <c r="B1166" s="85">
        <v>9522</v>
      </c>
      <c r="C1166" s="84" t="s">
        <v>958</v>
      </c>
      <c r="D1166" s="84" t="s">
        <v>1319</v>
      </c>
      <c r="E1166" s="84" t="s">
        <v>955</v>
      </c>
      <c r="F1166" s="84" t="s">
        <v>1043</v>
      </c>
    </row>
    <row r="1167" spans="1:6" hidden="1" x14ac:dyDescent="0.25">
      <c r="A1167" s="85">
        <v>9523</v>
      </c>
      <c r="B1167" s="85">
        <v>9523</v>
      </c>
      <c r="C1167" s="84" t="s">
        <v>958</v>
      </c>
      <c r="D1167" s="84" t="s">
        <v>1320</v>
      </c>
      <c r="E1167" s="84" t="s">
        <v>955</v>
      </c>
      <c r="F1167" s="84" t="s">
        <v>1043</v>
      </c>
    </row>
    <row r="1168" spans="1:6" hidden="1" x14ac:dyDescent="0.25">
      <c r="A1168" s="85">
        <v>9524</v>
      </c>
      <c r="B1168" s="85">
        <v>9524</v>
      </c>
      <c r="C1168" s="84" t="s">
        <v>958</v>
      </c>
      <c r="D1168" s="84" t="s">
        <v>2831</v>
      </c>
      <c r="E1168" s="84" t="s">
        <v>955</v>
      </c>
      <c r="F1168" s="84" t="s">
        <v>1043</v>
      </c>
    </row>
    <row r="1169" spans="1:6" hidden="1" x14ac:dyDescent="0.25">
      <c r="A1169" s="85">
        <v>9525</v>
      </c>
      <c r="B1169" s="85">
        <v>9525</v>
      </c>
      <c r="C1169" s="84" t="s">
        <v>958</v>
      </c>
      <c r="D1169" s="84" t="s">
        <v>440</v>
      </c>
      <c r="E1169" s="84" t="s">
        <v>955</v>
      </c>
      <c r="F1169" s="84" t="s">
        <v>1043</v>
      </c>
    </row>
    <row r="1170" spans="1:6" hidden="1" x14ac:dyDescent="0.25">
      <c r="A1170" s="85">
        <v>9526</v>
      </c>
      <c r="B1170" s="85">
        <v>9526</v>
      </c>
      <c r="C1170" s="84" t="s">
        <v>958</v>
      </c>
      <c r="D1170" s="84" t="s">
        <v>1321</v>
      </c>
      <c r="E1170" s="84" t="s">
        <v>955</v>
      </c>
      <c r="F1170" s="84" t="s">
        <v>1043</v>
      </c>
    </row>
    <row r="1171" spans="1:6" hidden="1" x14ac:dyDescent="0.25">
      <c r="A1171" s="85">
        <v>9527</v>
      </c>
      <c r="B1171" s="85">
        <v>9527</v>
      </c>
      <c r="C1171" s="84" t="s">
        <v>958</v>
      </c>
      <c r="D1171" s="84" t="s">
        <v>1322</v>
      </c>
      <c r="E1171" s="84" t="s">
        <v>955</v>
      </c>
      <c r="F1171" s="84" t="s">
        <v>1043</v>
      </c>
    </row>
    <row r="1172" spans="1:6" hidden="1" x14ac:dyDescent="0.25">
      <c r="A1172" s="85">
        <v>9550</v>
      </c>
      <c r="B1172" s="85">
        <v>9550</v>
      </c>
      <c r="C1172" s="84" t="s">
        <v>958</v>
      </c>
      <c r="D1172" s="84" t="s">
        <v>2832</v>
      </c>
      <c r="E1172" s="84" t="s">
        <v>955</v>
      </c>
      <c r="F1172" s="84" t="s">
        <v>1043</v>
      </c>
    </row>
    <row r="1173" spans="1:6" hidden="1" x14ac:dyDescent="0.25">
      <c r="A1173" s="85">
        <v>9551</v>
      </c>
      <c r="B1173" s="85">
        <v>9551</v>
      </c>
      <c r="C1173" s="84" t="s">
        <v>958</v>
      </c>
      <c r="D1173" s="84" t="s">
        <v>2833</v>
      </c>
      <c r="E1173" s="84" t="s">
        <v>955</v>
      </c>
      <c r="F1173" s="84" t="s">
        <v>1043</v>
      </c>
    </row>
    <row r="1174" spans="1:6" hidden="1" x14ac:dyDescent="0.25">
      <c r="A1174" s="85">
        <v>9552</v>
      </c>
      <c r="B1174" s="85">
        <v>9552</v>
      </c>
      <c r="C1174" s="84" t="s">
        <v>958</v>
      </c>
      <c r="D1174" s="84" t="s">
        <v>2610</v>
      </c>
      <c r="E1174" s="84" t="s">
        <v>955</v>
      </c>
      <c r="F1174" s="84" t="s">
        <v>1043</v>
      </c>
    </row>
    <row r="1175" spans="1:6" hidden="1" x14ac:dyDescent="0.25">
      <c r="A1175" s="85">
        <v>9554</v>
      </c>
      <c r="B1175" s="85">
        <v>9554</v>
      </c>
      <c r="C1175" s="84" t="s">
        <v>958</v>
      </c>
      <c r="D1175" s="84" t="s">
        <v>2609</v>
      </c>
      <c r="E1175" s="84" t="s">
        <v>955</v>
      </c>
      <c r="F1175" s="84" t="s">
        <v>1043</v>
      </c>
    </row>
    <row r="1176" spans="1:6" hidden="1" x14ac:dyDescent="0.25">
      <c r="A1176" s="85">
        <v>9556</v>
      </c>
      <c r="B1176" s="85">
        <v>9556</v>
      </c>
      <c r="C1176" s="84" t="s">
        <v>958</v>
      </c>
      <c r="D1176" s="84" t="s">
        <v>2611</v>
      </c>
      <c r="E1176" s="84" t="s">
        <v>955</v>
      </c>
      <c r="F1176" s="84" t="s">
        <v>1043</v>
      </c>
    </row>
    <row r="1177" spans="1:6" hidden="1" x14ac:dyDescent="0.25">
      <c r="A1177" s="85">
        <v>9596</v>
      </c>
      <c r="B1177" s="85">
        <v>9596</v>
      </c>
      <c r="C1177" s="84" t="s">
        <v>958</v>
      </c>
      <c r="D1177" s="84" t="s">
        <v>2834</v>
      </c>
      <c r="E1177" s="84" t="s">
        <v>955</v>
      </c>
      <c r="F1177" s="84" t="s">
        <v>1043</v>
      </c>
    </row>
    <row r="1178" spans="1:6" hidden="1" x14ac:dyDescent="0.25">
      <c r="A1178" s="85">
        <v>9597</v>
      </c>
      <c r="B1178" s="85">
        <v>9597</v>
      </c>
      <c r="C1178" s="84" t="s">
        <v>958</v>
      </c>
      <c r="D1178" s="84" t="s">
        <v>2835</v>
      </c>
      <c r="E1178" s="84" t="s">
        <v>955</v>
      </c>
      <c r="F1178" s="84" t="s">
        <v>1043</v>
      </c>
    </row>
    <row r="1179" spans="1:6" hidden="1" x14ac:dyDescent="0.25">
      <c r="A1179" s="85">
        <v>9598</v>
      </c>
      <c r="B1179" s="85">
        <v>9598</v>
      </c>
      <c r="C1179" s="84" t="s">
        <v>958</v>
      </c>
      <c r="D1179" s="84" t="s">
        <v>2836</v>
      </c>
      <c r="E1179" s="84" t="s">
        <v>955</v>
      </c>
      <c r="F1179" s="84" t="s">
        <v>1043</v>
      </c>
    </row>
    <row r="1180" spans="1:6" hidden="1" x14ac:dyDescent="0.25">
      <c r="A1180" s="85">
        <v>9599</v>
      </c>
      <c r="B1180" s="85">
        <v>9599</v>
      </c>
      <c r="C1180" s="84" t="s">
        <v>958</v>
      </c>
      <c r="D1180" s="84" t="s">
        <v>2837</v>
      </c>
      <c r="E1180" s="84" t="s">
        <v>955</v>
      </c>
      <c r="F1180" s="84" t="s">
        <v>1043</v>
      </c>
    </row>
    <row r="1181" spans="1:6" hidden="1" x14ac:dyDescent="0.25">
      <c r="A1181" s="85">
        <v>9600</v>
      </c>
      <c r="B1181" s="85">
        <v>9600</v>
      </c>
      <c r="C1181" s="84" t="s">
        <v>958</v>
      </c>
      <c r="D1181" s="84" t="s">
        <v>2838</v>
      </c>
      <c r="E1181" s="84" t="s">
        <v>955</v>
      </c>
      <c r="F1181" s="84" t="s">
        <v>1043</v>
      </c>
    </row>
    <row r="1182" spans="1:6" hidden="1" x14ac:dyDescent="0.25">
      <c r="A1182" s="85">
        <v>9613</v>
      </c>
      <c r="B1182" s="85">
        <v>9613</v>
      </c>
      <c r="C1182" s="84" t="s">
        <v>958</v>
      </c>
      <c r="D1182" s="84" t="s">
        <v>1323</v>
      </c>
      <c r="E1182" s="84" t="s">
        <v>955</v>
      </c>
      <c r="F1182" s="84" t="s">
        <v>1043</v>
      </c>
    </row>
    <row r="1183" spans="1:6" hidden="1" x14ac:dyDescent="0.25">
      <c r="A1183" s="85">
        <v>9620</v>
      </c>
      <c r="B1183" s="85">
        <v>9620</v>
      </c>
      <c r="C1183" s="84" t="s">
        <v>958</v>
      </c>
      <c r="D1183" s="84" t="s">
        <v>2839</v>
      </c>
      <c r="E1183" s="84" t="s">
        <v>955</v>
      </c>
      <c r="F1183" s="84" t="s">
        <v>1043</v>
      </c>
    </row>
    <row r="1184" spans="1:6" hidden="1" x14ac:dyDescent="0.25">
      <c r="A1184" s="85">
        <v>9621</v>
      </c>
      <c r="B1184" s="85">
        <v>9621</v>
      </c>
      <c r="C1184" s="84" t="s">
        <v>958</v>
      </c>
      <c r="D1184" s="84" t="s">
        <v>2840</v>
      </c>
      <c r="E1184" s="84" t="s">
        <v>955</v>
      </c>
      <c r="F1184" s="84" t="s">
        <v>1043</v>
      </c>
    </row>
    <row r="1185" spans="1:6" hidden="1" x14ac:dyDescent="0.25">
      <c r="A1185" s="85">
        <v>9622</v>
      </c>
      <c r="B1185" s="85">
        <v>9622</v>
      </c>
      <c r="C1185" s="84" t="s">
        <v>958</v>
      </c>
      <c r="D1185" s="84" t="s">
        <v>2841</v>
      </c>
      <c r="E1185" s="84" t="s">
        <v>955</v>
      </c>
      <c r="F1185" s="84" t="s">
        <v>1043</v>
      </c>
    </row>
    <row r="1186" spans="1:6" hidden="1" x14ac:dyDescent="0.25">
      <c r="A1186" s="85">
        <v>9623</v>
      </c>
      <c r="B1186" s="85">
        <v>9623</v>
      </c>
      <c r="C1186" s="84" t="s">
        <v>958</v>
      </c>
      <c r="D1186" s="84" t="s">
        <v>441</v>
      </c>
      <c r="E1186" s="84" t="s">
        <v>955</v>
      </c>
      <c r="F1186" s="84" t="s">
        <v>1043</v>
      </c>
    </row>
    <row r="1187" spans="1:6" hidden="1" x14ac:dyDescent="0.25">
      <c r="A1187" s="85">
        <v>9624</v>
      </c>
      <c r="B1187" s="85">
        <v>9624</v>
      </c>
      <c r="C1187" s="84" t="s">
        <v>958</v>
      </c>
      <c r="D1187" s="84" t="s">
        <v>353</v>
      </c>
      <c r="E1187" s="84" t="s">
        <v>955</v>
      </c>
      <c r="F1187" s="84" t="s">
        <v>1043</v>
      </c>
    </row>
    <row r="1188" spans="1:6" hidden="1" x14ac:dyDescent="0.25">
      <c r="A1188" s="85">
        <v>9635</v>
      </c>
      <c r="B1188" s="85">
        <v>9635</v>
      </c>
      <c r="C1188" s="84" t="s">
        <v>958</v>
      </c>
      <c r="D1188" s="84" t="s">
        <v>1324</v>
      </c>
      <c r="E1188" s="84" t="s">
        <v>955</v>
      </c>
      <c r="F1188" s="84" t="s">
        <v>1043</v>
      </c>
    </row>
    <row r="1189" spans="1:6" hidden="1" x14ac:dyDescent="0.25">
      <c r="A1189" s="85">
        <v>9665</v>
      </c>
      <c r="B1189" s="85">
        <v>9665</v>
      </c>
      <c r="C1189" s="84" t="s">
        <v>958</v>
      </c>
      <c r="D1189" s="84" t="s">
        <v>2842</v>
      </c>
      <c r="E1189" s="84" t="s">
        <v>955</v>
      </c>
      <c r="F1189" s="84" t="s">
        <v>1043</v>
      </c>
    </row>
    <row r="1190" spans="1:6" hidden="1" x14ac:dyDescent="0.25">
      <c r="A1190" s="85">
        <v>9685</v>
      </c>
      <c r="B1190" s="85">
        <v>9685</v>
      </c>
      <c r="C1190" s="84" t="s">
        <v>958</v>
      </c>
      <c r="D1190" s="84" t="s">
        <v>442</v>
      </c>
      <c r="E1190" s="84" t="s">
        <v>955</v>
      </c>
      <c r="F1190" s="84" t="s">
        <v>1043</v>
      </c>
    </row>
    <row r="1191" spans="1:6" hidden="1" x14ac:dyDescent="0.25">
      <c r="A1191" s="85">
        <v>9700</v>
      </c>
      <c r="B1191" s="85">
        <v>9700</v>
      </c>
      <c r="C1191" s="84" t="s">
        <v>958</v>
      </c>
      <c r="D1191" s="84" t="s">
        <v>2843</v>
      </c>
      <c r="E1191" s="84" t="s">
        <v>955</v>
      </c>
      <c r="F1191" s="84" t="s">
        <v>1043</v>
      </c>
    </row>
    <row r="1192" spans="1:6" hidden="1" x14ac:dyDescent="0.25">
      <c r="A1192" s="85">
        <v>9701</v>
      </c>
      <c r="B1192" s="85">
        <v>9701</v>
      </c>
      <c r="C1192" s="84" t="s">
        <v>958</v>
      </c>
      <c r="D1192" s="84" t="s">
        <v>2844</v>
      </c>
      <c r="E1192" s="84" t="s">
        <v>955</v>
      </c>
      <c r="F1192" s="84" t="s">
        <v>1043</v>
      </c>
    </row>
    <row r="1193" spans="1:6" hidden="1" x14ac:dyDescent="0.25">
      <c r="A1193" s="85">
        <v>9706</v>
      </c>
      <c r="B1193" s="85">
        <v>9706</v>
      </c>
      <c r="C1193" s="84" t="s">
        <v>958</v>
      </c>
      <c r="D1193" s="84" t="s">
        <v>443</v>
      </c>
      <c r="E1193" s="84" t="s">
        <v>955</v>
      </c>
      <c r="F1193" s="84" t="s">
        <v>1043</v>
      </c>
    </row>
    <row r="1194" spans="1:6" hidden="1" x14ac:dyDescent="0.25">
      <c r="A1194" s="85">
        <v>9708</v>
      </c>
      <c r="B1194" s="85">
        <v>9708</v>
      </c>
      <c r="C1194" s="84" t="s">
        <v>958</v>
      </c>
      <c r="D1194" s="84" t="s">
        <v>1325</v>
      </c>
      <c r="E1194" s="84" t="s">
        <v>955</v>
      </c>
      <c r="F1194" s="84" t="s">
        <v>1043</v>
      </c>
    </row>
    <row r="1195" spans="1:6" hidden="1" x14ac:dyDescent="0.25">
      <c r="A1195" s="85">
        <v>9714</v>
      </c>
      <c r="B1195" s="85">
        <v>9714</v>
      </c>
      <c r="C1195" s="84" t="s">
        <v>958</v>
      </c>
      <c r="D1195" s="84" t="s">
        <v>2845</v>
      </c>
      <c r="E1195" s="84" t="s">
        <v>955</v>
      </c>
      <c r="F1195" s="84" t="s">
        <v>1043</v>
      </c>
    </row>
    <row r="1196" spans="1:6" hidden="1" x14ac:dyDescent="0.25">
      <c r="A1196" s="85">
        <v>9719</v>
      </c>
      <c r="B1196" s="85">
        <v>9719</v>
      </c>
      <c r="C1196" s="84" t="s">
        <v>958</v>
      </c>
      <c r="D1196" s="84" t="s">
        <v>444</v>
      </c>
      <c r="E1196" s="84" t="s">
        <v>955</v>
      </c>
      <c r="F1196" s="84" t="s">
        <v>1043</v>
      </c>
    </row>
    <row r="1197" spans="1:6" hidden="1" x14ac:dyDescent="0.25">
      <c r="A1197" s="85">
        <v>9720</v>
      </c>
      <c r="B1197" s="85">
        <v>9720</v>
      </c>
      <c r="C1197" s="84" t="s">
        <v>958</v>
      </c>
      <c r="D1197" s="84" t="s">
        <v>1326</v>
      </c>
      <c r="E1197" s="84" t="s">
        <v>955</v>
      </c>
      <c r="F1197" s="84" t="s">
        <v>1043</v>
      </c>
    </row>
    <row r="1198" spans="1:6" hidden="1" x14ac:dyDescent="0.25">
      <c r="A1198" s="85">
        <v>9738</v>
      </c>
      <c r="B1198" s="85">
        <v>9738</v>
      </c>
      <c r="C1198" s="84" t="s">
        <v>958</v>
      </c>
      <c r="D1198" s="84" t="s">
        <v>1327</v>
      </c>
      <c r="E1198" s="84" t="s">
        <v>955</v>
      </c>
      <c r="F1198" s="84" t="s">
        <v>1043</v>
      </c>
    </row>
    <row r="1199" spans="1:6" hidden="1" x14ac:dyDescent="0.25">
      <c r="A1199" s="85">
        <v>9751</v>
      </c>
      <c r="B1199" s="85">
        <v>9751</v>
      </c>
      <c r="C1199" s="84" t="s">
        <v>958</v>
      </c>
      <c r="D1199" s="84" t="s">
        <v>2846</v>
      </c>
      <c r="E1199" s="84" t="s">
        <v>955</v>
      </c>
      <c r="F1199" s="84" t="s">
        <v>1043</v>
      </c>
    </row>
    <row r="1200" spans="1:6" hidden="1" x14ac:dyDescent="0.25">
      <c r="A1200" s="85">
        <v>9799</v>
      </c>
      <c r="B1200" s="85">
        <v>9799</v>
      </c>
      <c r="C1200" s="84" t="s">
        <v>958</v>
      </c>
      <c r="D1200" s="84" t="s">
        <v>2810</v>
      </c>
      <c r="E1200" s="84" t="s">
        <v>955</v>
      </c>
      <c r="F1200" s="84" t="s">
        <v>1043</v>
      </c>
    </row>
    <row r="1201" spans="1:6" hidden="1" x14ac:dyDescent="0.25">
      <c r="A1201" s="85">
        <v>9803</v>
      </c>
      <c r="B1201" s="85">
        <v>9803</v>
      </c>
      <c r="C1201" s="84" t="s">
        <v>958</v>
      </c>
      <c r="D1201" s="84" t="s">
        <v>1328</v>
      </c>
      <c r="E1201" s="84" t="s">
        <v>955</v>
      </c>
      <c r="F1201" s="84" t="s">
        <v>1043</v>
      </c>
    </row>
    <row r="1202" spans="1:6" hidden="1" x14ac:dyDescent="0.25">
      <c r="A1202" s="85">
        <v>9807</v>
      </c>
      <c r="B1202" s="85">
        <v>9807</v>
      </c>
      <c r="C1202" s="84" t="s">
        <v>958</v>
      </c>
      <c r="D1202" s="84" t="s">
        <v>2847</v>
      </c>
      <c r="E1202" s="84" t="s">
        <v>955</v>
      </c>
      <c r="F1202" s="84" t="s">
        <v>1043</v>
      </c>
    </row>
    <row r="1203" spans="1:6" hidden="1" x14ac:dyDescent="0.25">
      <c r="A1203" s="85">
        <v>9815</v>
      </c>
      <c r="B1203" s="85">
        <v>9815</v>
      </c>
      <c r="C1203" s="84" t="s">
        <v>958</v>
      </c>
      <c r="D1203" s="84" t="s">
        <v>445</v>
      </c>
      <c r="E1203" s="84" t="s">
        <v>955</v>
      </c>
      <c r="F1203" s="84" t="s">
        <v>1043</v>
      </c>
    </row>
    <row r="1204" spans="1:6" hidden="1" x14ac:dyDescent="0.25">
      <c r="A1204" s="85">
        <v>9816</v>
      </c>
      <c r="B1204" s="85">
        <v>9816</v>
      </c>
      <c r="C1204" s="84" t="s">
        <v>958</v>
      </c>
      <c r="D1204" s="84" t="s">
        <v>870</v>
      </c>
      <c r="E1204" s="84" t="s">
        <v>955</v>
      </c>
      <c r="F1204" s="84" t="s">
        <v>1043</v>
      </c>
    </row>
    <row r="1205" spans="1:6" hidden="1" x14ac:dyDescent="0.25">
      <c r="A1205" s="85">
        <v>9817</v>
      </c>
      <c r="B1205" s="85">
        <v>9817</v>
      </c>
      <c r="C1205" s="84" t="s">
        <v>958</v>
      </c>
      <c r="D1205" s="84" t="s">
        <v>1329</v>
      </c>
      <c r="E1205" s="84" t="s">
        <v>955</v>
      </c>
      <c r="F1205" s="84" t="s">
        <v>1043</v>
      </c>
    </row>
    <row r="1206" spans="1:6" hidden="1" x14ac:dyDescent="0.25">
      <c r="A1206" s="85">
        <v>9900</v>
      </c>
      <c r="B1206" s="85">
        <v>9900</v>
      </c>
      <c r="C1206" s="84" t="s">
        <v>958</v>
      </c>
      <c r="D1206" s="84" t="s">
        <v>2848</v>
      </c>
      <c r="E1206" s="84" t="s">
        <v>955</v>
      </c>
      <c r="F1206" s="84" t="s">
        <v>1043</v>
      </c>
    </row>
    <row r="1207" spans="1:6" hidden="1" x14ac:dyDescent="0.25">
      <c r="A1207" s="85">
        <v>9901</v>
      </c>
      <c r="B1207" s="85">
        <v>9901</v>
      </c>
      <c r="C1207" s="84" t="s">
        <v>958</v>
      </c>
      <c r="D1207" s="84" t="s">
        <v>2849</v>
      </c>
      <c r="E1207" s="84" t="s">
        <v>955</v>
      </c>
      <c r="F1207" s="84" t="s">
        <v>1043</v>
      </c>
    </row>
    <row r="1208" spans="1:6" hidden="1" x14ac:dyDescent="0.25">
      <c r="A1208" s="85">
        <v>9902</v>
      </c>
      <c r="B1208" s="85">
        <v>9902</v>
      </c>
      <c r="C1208" s="84" t="s">
        <v>958</v>
      </c>
      <c r="D1208" s="84" t="s">
        <v>2850</v>
      </c>
      <c r="E1208" s="84" t="s">
        <v>955</v>
      </c>
      <c r="F1208" s="84" t="s">
        <v>1043</v>
      </c>
    </row>
    <row r="1209" spans="1:6" hidden="1" x14ac:dyDescent="0.25">
      <c r="A1209" s="85">
        <v>9903</v>
      </c>
      <c r="B1209" s="85">
        <v>9903</v>
      </c>
      <c r="C1209" s="84" t="s">
        <v>958</v>
      </c>
      <c r="D1209" s="84" t="s">
        <v>1330</v>
      </c>
      <c r="E1209" s="84" t="s">
        <v>955</v>
      </c>
      <c r="F1209" s="84" t="s">
        <v>1043</v>
      </c>
    </row>
    <row r="1210" spans="1:6" hidden="1" x14ac:dyDescent="0.25">
      <c r="A1210" s="85">
        <v>9904</v>
      </c>
      <c r="B1210" s="85">
        <v>9904</v>
      </c>
      <c r="C1210" s="84" t="s">
        <v>958</v>
      </c>
      <c r="D1210" s="84" t="s">
        <v>1331</v>
      </c>
      <c r="E1210" s="84" t="s">
        <v>955</v>
      </c>
      <c r="F1210" s="84" t="s">
        <v>1043</v>
      </c>
    </row>
    <row r="1211" spans="1:6" hidden="1" x14ac:dyDescent="0.25">
      <c r="A1211" s="85">
        <v>9910</v>
      </c>
      <c r="B1211" s="85">
        <v>9910</v>
      </c>
      <c r="C1211" s="84" t="s">
        <v>958</v>
      </c>
      <c r="D1211" s="84" t="s">
        <v>1332</v>
      </c>
      <c r="E1211" s="84" t="s">
        <v>955</v>
      </c>
      <c r="F1211" s="84" t="s">
        <v>1043</v>
      </c>
    </row>
    <row r="1212" spans="1:6" hidden="1" x14ac:dyDescent="0.25">
      <c r="A1212" s="85">
        <v>9911</v>
      </c>
      <c r="B1212" s="85">
        <v>9911</v>
      </c>
      <c r="C1212" s="84" t="s">
        <v>958</v>
      </c>
      <c r="D1212" s="84" t="s">
        <v>1333</v>
      </c>
      <c r="E1212" s="84" t="s">
        <v>955</v>
      </c>
      <c r="F1212" s="84" t="s">
        <v>1043</v>
      </c>
    </row>
    <row r="1213" spans="1:6" hidden="1" x14ac:dyDescent="0.25">
      <c r="A1213" s="85">
        <v>9912</v>
      </c>
      <c r="B1213" s="85">
        <v>9912</v>
      </c>
      <c r="C1213" s="84" t="s">
        <v>958</v>
      </c>
      <c r="D1213" s="84" t="s">
        <v>1334</v>
      </c>
      <c r="E1213" s="84" t="s">
        <v>955</v>
      </c>
      <c r="F1213" s="84" t="s">
        <v>1043</v>
      </c>
    </row>
    <row r="1214" spans="1:6" hidden="1" x14ac:dyDescent="0.25">
      <c r="A1214" s="85">
        <v>9913</v>
      </c>
      <c r="B1214" s="85">
        <v>9913</v>
      </c>
      <c r="C1214" s="84" t="s">
        <v>958</v>
      </c>
      <c r="D1214" s="84" t="s">
        <v>1335</v>
      </c>
      <c r="E1214" s="84" t="s">
        <v>955</v>
      </c>
      <c r="F1214" s="84" t="s">
        <v>1043</v>
      </c>
    </row>
    <row r="1215" spans="1:6" hidden="1" x14ac:dyDescent="0.25">
      <c r="A1215" s="85">
        <v>9914</v>
      </c>
      <c r="B1215" s="85">
        <v>9914</v>
      </c>
      <c r="C1215" s="84" t="s">
        <v>958</v>
      </c>
      <c r="D1215" s="84" t="s">
        <v>1333</v>
      </c>
      <c r="E1215" s="84" t="s">
        <v>955</v>
      </c>
      <c r="F1215" s="84" t="s">
        <v>1043</v>
      </c>
    </row>
    <row r="1216" spans="1:6" hidden="1" x14ac:dyDescent="0.25">
      <c r="A1216" s="85">
        <v>9915</v>
      </c>
      <c r="B1216" s="85">
        <v>9915</v>
      </c>
      <c r="C1216" s="84" t="s">
        <v>958</v>
      </c>
      <c r="D1216" s="84" t="s">
        <v>1336</v>
      </c>
      <c r="E1216" s="84" t="s">
        <v>955</v>
      </c>
      <c r="F1216" s="84" t="s">
        <v>1043</v>
      </c>
    </row>
    <row r="1217" spans="1:6" hidden="1" x14ac:dyDescent="0.25">
      <c r="A1217" s="85">
        <v>9916</v>
      </c>
      <c r="B1217" s="85">
        <v>9916</v>
      </c>
      <c r="C1217" s="84" t="s">
        <v>958</v>
      </c>
      <c r="D1217" s="84" t="s">
        <v>1337</v>
      </c>
      <c r="E1217" s="84" t="s">
        <v>955</v>
      </c>
      <c r="F1217" s="84" t="s">
        <v>1043</v>
      </c>
    </row>
    <row r="1218" spans="1:6" hidden="1" x14ac:dyDescent="0.25">
      <c r="A1218" s="85">
        <v>9917</v>
      </c>
      <c r="B1218" s="85">
        <v>9917</v>
      </c>
      <c r="C1218" s="84" t="s">
        <v>958</v>
      </c>
      <c r="D1218" s="84" t="s">
        <v>1338</v>
      </c>
      <c r="E1218" s="84" t="s">
        <v>955</v>
      </c>
      <c r="F1218" s="84" t="s">
        <v>1043</v>
      </c>
    </row>
    <row r="1219" spans="1:6" hidden="1" x14ac:dyDescent="0.25">
      <c r="A1219" s="85">
        <v>9918</v>
      </c>
      <c r="B1219" s="85">
        <v>9918</v>
      </c>
      <c r="C1219" s="84" t="s">
        <v>958</v>
      </c>
      <c r="D1219" s="84" t="s">
        <v>2851</v>
      </c>
      <c r="E1219" s="84" t="s">
        <v>955</v>
      </c>
      <c r="F1219" s="84" t="s">
        <v>1043</v>
      </c>
    </row>
    <row r="1220" spans="1:6" hidden="1" x14ac:dyDescent="0.25">
      <c r="A1220" s="85">
        <v>9998</v>
      </c>
      <c r="B1220" s="85">
        <v>9998</v>
      </c>
      <c r="C1220" s="84" t="s">
        <v>958</v>
      </c>
      <c r="D1220" s="84" t="s">
        <v>1339</v>
      </c>
      <c r="E1220" s="84" t="s">
        <v>955</v>
      </c>
      <c r="F1220" s="84" t="s">
        <v>1043</v>
      </c>
    </row>
    <row r="1221" spans="1:6" hidden="1" x14ac:dyDescent="0.25">
      <c r="A1221" s="85">
        <v>9999</v>
      </c>
      <c r="B1221" s="85">
        <v>9999</v>
      </c>
      <c r="C1221" s="84" t="s">
        <v>958</v>
      </c>
      <c r="D1221" s="84" t="s">
        <v>1340</v>
      </c>
      <c r="E1221" s="84" t="s">
        <v>955</v>
      </c>
      <c r="F1221" s="84" t="s">
        <v>1043</v>
      </c>
    </row>
    <row r="1222" spans="1:6" hidden="1" x14ac:dyDescent="0.25">
      <c r="A1222" s="85" t="s">
        <v>2852</v>
      </c>
      <c r="B1222" s="85" t="s">
        <v>2852</v>
      </c>
      <c r="C1222" s="84" t="s">
        <v>958</v>
      </c>
      <c r="D1222" s="84" t="s">
        <v>2853</v>
      </c>
      <c r="E1222" s="84" t="s">
        <v>955</v>
      </c>
      <c r="F1222" s="84" t="s">
        <v>1043</v>
      </c>
    </row>
    <row r="1223" spans="1:6" x14ac:dyDescent="0.25">
      <c r="A1223" s="85" t="s">
        <v>743</v>
      </c>
      <c r="B1223" s="85" t="s">
        <v>743</v>
      </c>
      <c r="C1223" s="84" t="s">
        <v>958</v>
      </c>
      <c r="D1223" s="84" t="s">
        <v>744</v>
      </c>
      <c r="E1223" s="84" t="s">
        <v>955</v>
      </c>
      <c r="F1223" s="84" t="s">
        <v>1043</v>
      </c>
    </row>
    <row r="1224" spans="1:6" x14ac:dyDescent="0.25">
      <c r="A1224" s="85" t="s">
        <v>452</v>
      </c>
      <c r="B1224" s="85" t="s">
        <v>452</v>
      </c>
      <c r="C1224" s="84" t="s">
        <v>958</v>
      </c>
      <c r="D1224" s="84" t="s">
        <v>1080</v>
      </c>
      <c r="E1224" s="84" t="s">
        <v>955</v>
      </c>
      <c r="F1224" s="84" t="s">
        <v>1043</v>
      </c>
    </row>
    <row r="1225" spans="1:6" x14ac:dyDescent="0.25">
      <c r="A1225" s="85" t="s">
        <v>1081</v>
      </c>
      <c r="B1225" s="85" t="s">
        <v>1081</v>
      </c>
      <c r="C1225" s="84" t="s">
        <v>958</v>
      </c>
      <c r="D1225" s="84" t="s">
        <v>1082</v>
      </c>
      <c r="E1225" s="84" t="s">
        <v>955</v>
      </c>
      <c r="F1225" s="84" t="s">
        <v>1043</v>
      </c>
    </row>
    <row r="1226" spans="1:6" x14ac:dyDescent="0.25">
      <c r="A1226" s="85" t="s">
        <v>1083</v>
      </c>
      <c r="B1226" s="85" t="s">
        <v>1083</v>
      </c>
      <c r="C1226" s="84" t="s">
        <v>958</v>
      </c>
      <c r="D1226" s="84" t="s">
        <v>1084</v>
      </c>
      <c r="E1226" s="84" t="s">
        <v>955</v>
      </c>
      <c r="F1226" s="84" t="s">
        <v>1043</v>
      </c>
    </row>
    <row r="1227" spans="1:6" x14ac:dyDescent="0.25">
      <c r="A1227" s="85" t="s">
        <v>1085</v>
      </c>
      <c r="B1227" s="85" t="s">
        <v>1085</v>
      </c>
      <c r="C1227" s="84" t="s">
        <v>958</v>
      </c>
      <c r="D1227" s="84" t="s">
        <v>1086</v>
      </c>
      <c r="E1227" s="84" t="s">
        <v>955</v>
      </c>
      <c r="F1227" s="84" t="s">
        <v>1043</v>
      </c>
    </row>
    <row r="1228" spans="1:6" x14ac:dyDescent="0.25">
      <c r="A1228" s="85" t="s">
        <v>462</v>
      </c>
      <c r="B1228" s="85" t="s">
        <v>462</v>
      </c>
      <c r="C1228" s="84" t="s">
        <v>958</v>
      </c>
      <c r="D1228" s="84" t="s">
        <v>387</v>
      </c>
      <c r="E1228" s="84" t="s">
        <v>955</v>
      </c>
      <c r="F1228" s="84" t="s">
        <v>1043</v>
      </c>
    </row>
    <row r="1229" spans="1:6" x14ac:dyDescent="0.25">
      <c r="A1229" s="85" t="s">
        <v>463</v>
      </c>
      <c r="B1229" s="85" t="s">
        <v>463</v>
      </c>
      <c r="C1229" s="84" t="s">
        <v>958</v>
      </c>
      <c r="D1229" s="84" t="s">
        <v>364</v>
      </c>
      <c r="E1229" s="84" t="s">
        <v>955</v>
      </c>
      <c r="F1229" s="84" t="s">
        <v>1043</v>
      </c>
    </row>
    <row r="1230" spans="1:6" x14ac:dyDescent="0.25">
      <c r="A1230" s="85" t="s">
        <v>464</v>
      </c>
      <c r="B1230" s="85" t="s">
        <v>464</v>
      </c>
      <c r="C1230" s="84" t="s">
        <v>958</v>
      </c>
      <c r="D1230" s="84" t="s">
        <v>465</v>
      </c>
      <c r="E1230" s="84" t="s">
        <v>955</v>
      </c>
      <c r="F1230" s="84" t="s">
        <v>1043</v>
      </c>
    </row>
    <row r="1231" spans="1:6" x14ac:dyDescent="0.25">
      <c r="A1231" s="85" t="s">
        <v>466</v>
      </c>
      <c r="B1231" s="85" t="s">
        <v>466</v>
      </c>
      <c r="C1231" s="84" t="s">
        <v>958</v>
      </c>
      <c r="D1231" s="84" t="s">
        <v>467</v>
      </c>
      <c r="E1231" s="84" t="s">
        <v>955</v>
      </c>
      <c r="F1231" s="84" t="s">
        <v>1043</v>
      </c>
    </row>
    <row r="1232" spans="1:6" x14ac:dyDescent="0.25">
      <c r="A1232" s="85" t="s">
        <v>468</v>
      </c>
      <c r="B1232" s="85" t="s">
        <v>468</v>
      </c>
      <c r="C1232" s="84" t="s">
        <v>958</v>
      </c>
      <c r="D1232" s="84" t="s">
        <v>469</v>
      </c>
      <c r="E1232" s="84" t="s">
        <v>955</v>
      </c>
      <c r="F1232" s="84" t="s">
        <v>1043</v>
      </c>
    </row>
    <row r="1233" spans="1:6" x14ac:dyDescent="0.25">
      <c r="A1233" s="85" t="s">
        <v>470</v>
      </c>
      <c r="B1233" s="85" t="s">
        <v>470</v>
      </c>
      <c r="C1233" s="84" t="s">
        <v>958</v>
      </c>
      <c r="D1233" s="84" t="s">
        <v>471</v>
      </c>
      <c r="E1233" s="84" t="s">
        <v>955</v>
      </c>
      <c r="F1233" s="84" t="s">
        <v>1043</v>
      </c>
    </row>
    <row r="1234" spans="1:6" x14ac:dyDescent="0.25">
      <c r="A1234" s="85" t="s">
        <v>472</v>
      </c>
      <c r="B1234" s="85" t="s">
        <v>472</v>
      </c>
      <c r="C1234" s="84" t="s">
        <v>958</v>
      </c>
      <c r="D1234" s="84" t="s">
        <v>385</v>
      </c>
      <c r="E1234" s="84" t="s">
        <v>955</v>
      </c>
      <c r="F1234" s="84" t="s">
        <v>1043</v>
      </c>
    </row>
    <row r="1235" spans="1:6" x14ac:dyDescent="0.25">
      <c r="A1235" s="85" t="s">
        <v>1087</v>
      </c>
      <c r="B1235" s="85" t="s">
        <v>1087</v>
      </c>
      <c r="C1235" s="84" t="s">
        <v>958</v>
      </c>
      <c r="D1235" s="84" t="s">
        <v>1088</v>
      </c>
      <c r="E1235" s="84" t="s">
        <v>955</v>
      </c>
      <c r="F1235" s="84" t="s">
        <v>1043</v>
      </c>
    </row>
    <row r="1236" spans="1:6" x14ac:dyDescent="0.25">
      <c r="A1236" s="85" t="s">
        <v>473</v>
      </c>
      <c r="B1236" s="85" t="s">
        <v>473</v>
      </c>
      <c r="C1236" s="84" t="s">
        <v>958</v>
      </c>
      <c r="D1236" s="84" t="s">
        <v>1089</v>
      </c>
      <c r="E1236" s="84" t="s">
        <v>955</v>
      </c>
      <c r="F1236" s="84" t="s">
        <v>1043</v>
      </c>
    </row>
    <row r="1237" spans="1:6" x14ac:dyDescent="0.25">
      <c r="A1237" s="85" t="s">
        <v>475</v>
      </c>
      <c r="B1237" s="85" t="s">
        <v>475</v>
      </c>
      <c r="C1237" s="84" t="s">
        <v>958</v>
      </c>
      <c r="D1237" s="84" t="s">
        <v>1090</v>
      </c>
      <c r="E1237" s="84" t="s">
        <v>955</v>
      </c>
      <c r="F1237" s="84" t="s">
        <v>1043</v>
      </c>
    </row>
    <row r="1238" spans="1:6" x14ac:dyDescent="0.25">
      <c r="A1238" s="85" t="s">
        <v>477</v>
      </c>
      <c r="B1238" s="85" t="s">
        <v>477</v>
      </c>
      <c r="C1238" s="84" t="s">
        <v>958</v>
      </c>
      <c r="D1238" s="84" t="s">
        <v>1091</v>
      </c>
      <c r="E1238" s="84" t="s">
        <v>955</v>
      </c>
      <c r="F1238" s="84" t="s">
        <v>1043</v>
      </c>
    </row>
    <row r="1239" spans="1:6" x14ac:dyDescent="0.25">
      <c r="A1239" s="85" t="s">
        <v>479</v>
      </c>
      <c r="B1239" s="85" t="s">
        <v>479</v>
      </c>
      <c r="C1239" s="84" t="s">
        <v>958</v>
      </c>
      <c r="D1239" s="84" t="s">
        <v>1092</v>
      </c>
      <c r="E1239" s="84" t="s">
        <v>955</v>
      </c>
      <c r="F1239" s="84" t="s">
        <v>1043</v>
      </c>
    </row>
    <row r="1240" spans="1:6" x14ac:dyDescent="0.25">
      <c r="A1240" s="85" t="s">
        <v>481</v>
      </c>
      <c r="B1240" s="85" t="s">
        <v>481</v>
      </c>
      <c r="C1240" s="84" t="s">
        <v>958</v>
      </c>
      <c r="D1240" s="84" t="s">
        <v>1093</v>
      </c>
      <c r="E1240" s="84" t="s">
        <v>955</v>
      </c>
      <c r="F1240" s="84" t="s">
        <v>1043</v>
      </c>
    </row>
    <row r="1241" spans="1:6" x14ac:dyDescent="0.25">
      <c r="A1241" s="85" t="s">
        <v>483</v>
      </c>
      <c r="B1241" s="85" t="s">
        <v>483</v>
      </c>
      <c r="C1241" s="84" t="s">
        <v>958</v>
      </c>
      <c r="D1241" s="84" t="s">
        <v>1094</v>
      </c>
      <c r="E1241" s="84" t="s">
        <v>955</v>
      </c>
      <c r="F1241" s="84" t="s">
        <v>1043</v>
      </c>
    </row>
    <row r="1242" spans="1:6" x14ac:dyDescent="0.25">
      <c r="A1242" s="85" t="s">
        <v>488</v>
      </c>
      <c r="B1242" s="85" t="s">
        <v>488</v>
      </c>
      <c r="C1242" s="84" t="s">
        <v>958</v>
      </c>
      <c r="D1242" s="84" t="s">
        <v>1095</v>
      </c>
      <c r="E1242" s="84" t="s">
        <v>955</v>
      </c>
      <c r="F1242" s="84" t="s">
        <v>1043</v>
      </c>
    </row>
    <row r="1243" spans="1:6" x14ac:dyDescent="0.25">
      <c r="A1243" s="85" t="s">
        <v>490</v>
      </c>
      <c r="B1243" s="85" t="s">
        <v>490</v>
      </c>
      <c r="C1243" s="84" t="s">
        <v>958</v>
      </c>
      <c r="D1243" s="84" t="s">
        <v>1096</v>
      </c>
      <c r="E1243" s="84" t="s">
        <v>955</v>
      </c>
      <c r="F1243" s="84" t="s">
        <v>1043</v>
      </c>
    </row>
    <row r="1244" spans="1:6" x14ac:dyDescent="0.25">
      <c r="A1244" s="85" t="s">
        <v>492</v>
      </c>
      <c r="B1244" s="85" t="s">
        <v>492</v>
      </c>
      <c r="C1244" s="84" t="s">
        <v>958</v>
      </c>
      <c r="D1244" s="84" t="s">
        <v>1097</v>
      </c>
      <c r="E1244" s="84" t="s">
        <v>955</v>
      </c>
      <c r="F1244" s="84" t="s">
        <v>1043</v>
      </c>
    </row>
    <row r="1245" spans="1:6" x14ac:dyDescent="0.25">
      <c r="A1245" s="85" t="s">
        <v>494</v>
      </c>
      <c r="B1245" s="85" t="s">
        <v>494</v>
      </c>
      <c r="C1245" s="84" t="s">
        <v>958</v>
      </c>
      <c r="D1245" s="84" t="s">
        <v>495</v>
      </c>
      <c r="E1245" s="84" t="s">
        <v>955</v>
      </c>
      <c r="F1245" s="84" t="s">
        <v>1043</v>
      </c>
    </row>
    <row r="1246" spans="1:6" x14ac:dyDescent="0.25">
      <c r="A1246" s="85" t="s">
        <v>516</v>
      </c>
      <c r="B1246" s="85" t="s">
        <v>516</v>
      </c>
      <c r="C1246" s="84" t="s">
        <v>958</v>
      </c>
      <c r="D1246" s="84" t="s">
        <v>517</v>
      </c>
      <c r="E1246" s="84" t="s">
        <v>955</v>
      </c>
      <c r="F1246" s="84" t="s">
        <v>1043</v>
      </c>
    </row>
    <row r="1247" spans="1:6" x14ac:dyDescent="0.25">
      <c r="A1247" s="85" t="s">
        <v>1098</v>
      </c>
      <c r="B1247" s="85" t="s">
        <v>1098</v>
      </c>
      <c r="C1247" s="84" t="s">
        <v>958</v>
      </c>
      <c r="D1247" s="84" t="s">
        <v>1099</v>
      </c>
      <c r="E1247" s="84" t="s">
        <v>955</v>
      </c>
      <c r="F1247" s="84" t="s">
        <v>1043</v>
      </c>
    </row>
    <row r="1248" spans="1:6" x14ac:dyDescent="0.25">
      <c r="A1248" s="85" t="s">
        <v>747</v>
      </c>
      <c r="B1248" s="85" t="s">
        <v>747</v>
      </c>
      <c r="C1248" s="84" t="s">
        <v>958</v>
      </c>
      <c r="D1248" s="84" t="s">
        <v>748</v>
      </c>
      <c r="E1248" s="84" t="s">
        <v>955</v>
      </c>
      <c r="F1248" s="84" t="s">
        <v>1043</v>
      </c>
    </row>
    <row r="1249" spans="1:6" x14ac:dyDescent="0.25">
      <c r="A1249" s="85" t="s">
        <v>753</v>
      </c>
      <c r="B1249" s="85" t="s">
        <v>753</v>
      </c>
      <c r="C1249" s="84" t="s">
        <v>958</v>
      </c>
      <c r="D1249" s="84" t="s">
        <v>754</v>
      </c>
      <c r="E1249" s="84" t="s">
        <v>955</v>
      </c>
      <c r="F1249" s="84" t="s">
        <v>1043</v>
      </c>
    </row>
    <row r="1250" spans="1:6" x14ac:dyDescent="0.25">
      <c r="A1250" s="85" t="s">
        <v>755</v>
      </c>
      <c r="B1250" s="85" t="s">
        <v>755</v>
      </c>
      <c r="C1250" s="84" t="s">
        <v>958</v>
      </c>
      <c r="D1250" s="84" t="s">
        <v>756</v>
      </c>
      <c r="E1250" s="84" t="s">
        <v>955</v>
      </c>
      <c r="F1250" s="84" t="s">
        <v>1043</v>
      </c>
    </row>
    <row r="1251" spans="1:6" hidden="1" x14ac:dyDescent="0.25">
      <c r="A1251" s="85" t="s">
        <v>2854</v>
      </c>
      <c r="B1251" s="85" t="s">
        <v>2854</v>
      </c>
      <c r="C1251" s="84" t="s">
        <v>958</v>
      </c>
      <c r="D1251" s="84" t="s">
        <v>2855</v>
      </c>
      <c r="E1251" s="84" t="s">
        <v>955</v>
      </c>
      <c r="F1251" s="84" t="s">
        <v>1043</v>
      </c>
    </row>
    <row r="1252" spans="1:6" hidden="1" x14ac:dyDescent="0.25">
      <c r="A1252" s="85" t="s">
        <v>2856</v>
      </c>
      <c r="B1252" s="85" t="s">
        <v>2856</v>
      </c>
      <c r="C1252" s="84" t="s">
        <v>958</v>
      </c>
      <c r="D1252" s="84" t="s">
        <v>2857</v>
      </c>
      <c r="E1252" s="84" t="s">
        <v>955</v>
      </c>
      <c r="F1252" s="84" t="s">
        <v>1043</v>
      </c>
    </row>
    <row r="1253" spans="1:6" hidden="1" x14ac:dyDescent="0.25">
      <c r="A1253" s="85" t="s">
        <v>2858</v>
      </c>
      <c r="B1253" s="85" t="s">
        <v>2858</v>
      </c>
      <c r="C1253" s="84" t="s">
        <v>958</v>
      </c>
      <c r="D1253" s="84" t="s">
        <v>2859</v>
      </c>
      <c r="E1253" s="84" t="s">
        <v>955</v>
      </c>
      <c r="F1253" s="84" t="s">
        <v>1043</v>
      </c>
    </row>
    <row r="1254" spans="1:6" hidden="1" x14ac:dyDescent="0.25">
      <c r="A1254" s="85" t="s">
        <v>2860</v>
      </c>
      <c r="B1254" s="85">
        <v>9185</v>
      </c>
      <c r="C1254" s="84" t="s">
        <v>958</v>
      </c>
      <c r="D1254" s="84" t="s">
        <v>445</v>
      </c>
      <c r="E1254" s="84" t="s">
        <v>955</v>
      </c>
      <c r="F1254" s="84" t="s">
        <v>1043</v>
      </c>
    </row>
    <row r="1255" spans="1:6" hidden="1" x14ac:dyDescent="0.25">
      <c r="A1255" s="85" t="s">
        <v>2861</v>
      </c>
      <c r="B1255" s="85" t="s">
        <v>2861</v>
      </c>
      <c r="C1255" s="84" t="s">
        <v>958</v>
      </c>
      <c r="D1255" s="84" t="s">
        <v>2862</v>
      </c>
      <c r="E1255" s="84" t="s">
        <v>955</v>
      </c>
      <c r="F1255" s="84" t="s">
        <v>1043</v>
      </c>
    </row>
    <row r="1256" spans="1:6" hidden="1" x14ac:dyDescent="0.25">
      <c r="A1256" s="85" t="s">
        <v>2863</v>
      </c>
      <c r="B1256" s="85" t="s">
        <v>2863</v>
      </c>
      <c r="C1256" s="84" t="s">
        <v>958</v>
      </c>
      <c r="D1256" s="84" t="s">
        <v>2864</v>
      </c>
      <c r="E1256" s="84" t="s">
        <v>955</v>
      </c>
      <c r="F1256" s="84" t="s">
        <v>1043</v>
      </c>
    </row>
    <row r="1257" spans="1:6" hidden="1" x14ac:dyDescent="0.25">
      <c r="A1257" s="85" t="s">
        <v>2865</v>
      </c>
      <c r="B1257" s="85" t="s">
        <v>2865</v>
      </c>
      <c r="C1257" s="84" t="s">
        <v>958</v>
      </c>
      <c r="D1257" s="84" t="s">
        <v>2866</v>
      </c>
      <c r="E1257" s="84" t="s">
        <v>955</v>
      </c>
      <c r="F1257" s="84" t="s">
        <v>1043</v>
      </c>
    </row>
    <row r="1258" spans="1:6" hidden="1" x14ac:dyDescent="0.25">
      <c r="A1258" s="85" t="s">
        <v>2867</v>
      </c>
      <c r="B1258" s="85" t="s">
        <v>2867</v>
      </c>
      <c r="C1258" s="84" t="s">
        <v>958</v>
      </c>
      <c r="D1258" s="84" t="s">
        <v>2868</v>
      </c>
      <c r="E1258" s="84" t="s">
        <v>955</v>
      </c>
      <c r="F1258" s="84" t="s">
        <v>1043</v>
      </c>
    </row>
    <row r="1259" spans="1:6" hidden="1" x14ac:dyDescent="0.25">
      <c r="A1259" s="85" t="s">
        <v>2869</v>
      </c>
      <c r="B1259" s="85" t="s">
        <v>2869</v>
      </c>
      <c r="C1259" s="84" t="s">
        <v>958</v>
      </c>
      <c r="D1259" s="84" t="s">
        <v>2870</v>
      </c>
      <c r="E1259" s="84" t="s">
        <v>955</v>
      </c>
      <c r="F1259" s="84" t="s">
        <v>1043</v>
      </c>
    </row>
    <row r="1260" spans="1:6" x14ac:dyDescent="0.25">
      <c r="A1260" s="85" t="s">
        <v>2871</v>
      </c>
      <c r="B1260" s="85" t="s">
        <v>2872</v>
      </c>
      <c r="C1260" s="84" t="s">
        <v>922</v>
      </c>
      <c r="D1260" s="84" t="s">
        <v>2873</v>
      </c>
      <c r="E1260" s="84" t="s">
        <v>955</v>
      </c>
      <c r="F1260" s="84" t="s">
        <v>1343</v>
      </c>
    </row>
    <row r="1261" spans="1:6" x14ac:dyDescent="0.25">
      <c r="A1261" s="85" t="s">
        <v>1341</v>
      </c>
      <c r="B1261" s="85" t="s">
        <v>1341</v>
      </c>
      <c r="C1261" s="84" t="s">
        <v>958</v>
      </c>
      <c r="D1261" s="84" t="s">
        <v>1342</v>
      </c>
      <c r="E1261" s="84" t="s">
        <v>955</v>
      </c>
      <c r="F1261" s="84" t="s">
        <v>1343</v>
      </c>
    </row>
    <row r="1262" spans="1:6" x14ac:dyDescent="0.25">
      <c r="A1262" s="85" t="s">
        <v>448</v>
      </c>
      <c r="B1262" s="85" t="s">
        <v>448</v>
      </c>
      <c r="C1262" s="84" t="s">
        <v>958</v>
      </c>
      <c r="D1262" s="84" t="s">
        <v>449</v>
      </c>
      <c r="E1262" s="84" t="s">
        <v>955</v>
      </c>
      <c r="F1262" s="84" t="s">
        <v>1343</v>
      </c>
    </row>
    <row r="1263" spans="1:6" x14ac:dyDescent="0.25">
      <c r="A1263" s="85" t="s">
        <v>745</v>
      </c>
      <c r="B1263" s="85" t="s">
        <v>745</v>
      </c>
      <c r="C1263" s="84" t="s">
        <v>958</v>
      </c>
      <c r="D1263" s="84" t="s">
        <v>1344</v>
      </c>
      <c r="E1263" s="84" t="s">
        <v>955</v>
      </c>
      <c r="F1263" s="84" t="s">
        <v>1343</v>
      </c>
    </row>
    <row r="1264" spans="1:6" x14ac:dyDescent="0.25">
      <c r="A1264" s="85" t="s">
        <v>450</v>
      </c>
      <c r="B1264" s="85" t="s">
        <v>450</v>
      </c>
      <c r="C1264" s="84" t="s">
        <v>958</v>
      </c>
      <c r="D1264" s="84" t="s">
        <v>1345</v>
      </c>
      <c r="E1264" s="84" t="s">
        <v>955</v>
      </c>
      <c r="F1264" s="84" t="s">
        <v>1343</v>
      </c>
    </row>
    <row r="1265" spans="1:6" x14ac:dyDescent="0.25">
      <c r="A1265" s="85" t="s">
        <v>454</v>
      </c>
      <c r="B1265" s="85" t="s">
        <v>454</v>
      </c>
      <c r="C1265" s="84" t="s">
        <v>958</v>
      </c>
      <c r="D1265" s="84" t="s">
        <v>1346</v>
      </c>
      <c r="E1265" s="84" t="s">
        <v>955</v>
      </c>
      <c r="F1265" s="84" t="s">
        <v>1343</v>
      </c>
    </row>
    <row r="1266" spans="1:6" x14ac:dyDescent="0.25">
      <c r="A1266" s="85" t="s">
        <v>456</v>
      </c>
      <c r="B1266" s="85" t="s">
        <v>456</v>
      </c>
      <c r="C1266" s="84" t="s">
        <v>958</v>
      </c>
      <c r="D1266" s="84" t="s">
        <v>457</v>
      </c>
      <c r="E1266" s="84" t="s">
        <v>955</v>
      </c>
      <c r="F1266" s="84" t="s">
        <v>1343</v>
      </c>
    </row>
    <row r="1267" spans="1:6" x14ac:dyDescent="0.25">
      <c r="A1267" s="85" t="s">
        <v>458</v>
      </c>
      <c r="B1267" s="85" t="s">
        <v>458</v>
      </c>
      <c r="C1267" s="84" t="s">
        <v>958</v>
      </c>
      <c r="D1267" s="84" t="s">
        <v>459</v>
      </c>
      <c r="E1267" s="84" t="s">
        <v>955</v>
      </c>
      <c r="F1267" s="84" t="s">
        <v>1343</v>
      </c>
    </row>
    <row r="1268" spans="1:6" x14ac:dyDescent="0.25">
      <c r="A1268" s="85" t="s">
        <v>460</v>
      </c>
      <c r="B1268" s="85" t="s">
        <v>460</v>
      </c>
      <c r="C1268" s="84" t="s">
        <v>958</v>
      </c>
      <c r="D1268" s="84" t="s">
        <v>461</v>
      </c>
      <c r="E1268" s="84" t="s">
        <v>955</v>
      </c>
      <c r="F1268" s="84" t="s">
        <v>1343</v>
      </c>
    </row>
    <row r="1269" spans="1:6" x14ac:dyDescent="0.25">
      <c r="A1269" s="85" t="s">
        <v>485</v>
      </c>
      <c r="B1269" s="85" t="s">
        <v>485</v>
      </c>
      <c r="C1269" s="84" t="s">
        <v>958</v>
      </c>
      <c r="D1269" s="84" t="s">
        <v>1347</v>
      </c>
      <c r="E1269" s="84" t="s">
        <v>955</v>
      </c>
      <c r="F1269" s="84" t="s">
        <v>1343</v>
      </c>
    </row>
    <row r="1270" spans="1:6" x14ac:dyDescent="0.25">
      <c r="A1270" s="85" t="s">
        <v>486</v>
      </c>
      <c r="B1270" s="85" t="s">
        <v>486</v>
      </c>
      <c r="C1270" s="84" t="s">
        <v>958</v>
      </c>
      <c r="D1270" s="84" t="s">
        <v>1348</v>
      </c>
      <c r="E1270" s="84" t="s">
        <v>955</v>
      </c>
      <c r="F1270" s="84" t="s">
        <v>1343</v>
      </c>
    </row>
    <row r="1271" spans="1:6" x14ac:dyDescent="0.25">
      <c r="A1271" s="85" t="s">
        <v>487</v>
      </c>
      <c r="B1271" s="85" t="s">
        <v>487</v>
      </c>
      <c r="C1271" s="84" t="s">
        <v>958</v>
      </c>
      <c r="D1271" s="84" t="s">
        <v>1349</v>
      </c>
      <c r="E1271" s="84" t="s">
        <v>955</v>
      </c>
      <c r="F1271" s="84" t="s">
        <v>1343</v>
      </c>
    </row>
    <row r="1272" spans="1:6" x14ac:dyDescent="0.25">
      <c r="A1272" s="85" t="s">
        <v>496</v>
      </c>
      <c r="B1272" s="85" t="s">
        <v>496</v>
      </c>
      <c r="C1272" s="84" t="s">
        <v>958</v>
      </c>
      <c r="D1272" s="84" t="s">
        <v>497</v>
      </c>
      <c r="E1272" s="84" t="s">
        <v>955</v>
      </c>
      <c r="F1272" s="84" t="s">
        <v>1343</v>
      </c>
    </row>
    <row r="1273" spans="1:6" x14ac:dyDescent="0.25">
      <c r="A1273" s="85" t="s">
        <v>498</v>
      </c>
      <c r="B1273" s="85" t="s">
        <v>498</v>
      </c>
      <c r="C1273" s="84" t="s">
        <v>958</v>
      </c>
      <c r="D1273" s="84" t="s">
        <v>1350</v>
      </c>
      <c r="E1273" s="84" t="s">
        <v>955</v>
      </c>
      <c r="F1273" s="84" t="s">
        <v>1343</v>
      </c>
    </row>
    <row r="1274" spans="1:6" x14ac:dyDescent="0.25">
      <c r="A1274" s="85" t="s">
        <v>500</v>
      </c>
      <c r="B1274" s="85" t="s">
        <v>500</v>
      </c>
      <c r="C1274" s="84" t="s">
        <v>958</v>
      </c>
      <c r="D1274" s="84" t="s">
        <v>1351</v>
      </c>
      <c r="E1274" s="84" t="s">
        <v>955</v>
      </c>
      <c r="F1274" s="84" t="s">
        <v>1343</v>
      </c>
    </row>
    <row r="1275" spans="1:6" x14ac:dyDescent="0.25">
      <c r="A1275" s="85" t="s">
        <v>502</v>
      </c>
      <c r="B1275" s="85" t="s">
        <v>502</v>
      </c>
      <c r="C1275" s="84" t="s">
        <v>958</v>
      </c>
      <c r="D1275" s="84" t="s">
        <v>1352</v>
      </c>
      <c r="E1275" s="84" t="s">
        <v>955</v>
      </c>
      <c r="F1275" s="84" t="s">
        <v>1343</v>
      </c>
    </row>
    <row r="1276" spans="1:6" x14ac:dyDescent="0.25">
      <c r="A1276" s="85" t="s">
        <v>504</v>
      </c>
      <c r="B1276" s="85" t="s">
        <v>504</v>
      </c>
      <c r="C1276" s="84" t="s">
        <v>958</v>
      </c>
      <c r="D1276" s="84" t="s">
        <v>1353</v>
      </c>
      <c r="E1276" s="84" t="s">
        <v>955</v>
      </c>
      <c r="F1276" s="84" t="s">
        <v>1343</v>
      </c>
    </row>
    <row r="1277" spans="1:6" x14ac:dyDescent="0.25">
      <c r="A1277" s="85" t="s">
        <v>2874</v>
      </c>
      <c r="B1277" s="85" t="s">
        <v>2874</v>
      </c>
      <c r="C1277" s="84" t="s">
        <v>958</v>
      </c>
      <c r="D1277" s="84" t="s">
        <v>2875</v>
      </c>
      <c r="E1277" s="84" t="s">
        <v>955</v>
      </c>
      <c r="F1277" s="84" t="s">
        <v>1343</v>
      </c>
    </row>
    <row r="1278" spans="1:6" x14ac:dyDescent="0.25">
      <c r="A1278" s="85" t="s">
        <v>2876</v>
      </c>
      <c r="B1278" s="85" t="s">
        <v>2876</v>
      </c>
      <c r="C1278" s="84" t="s">
        <v>958</v>
      </c>
      <c r="D1278" s="84" t="s">
        <v>2877</v>
      </c>
      <c r="E1278" s="84" t="s">
        <v>955</v>
      </c>
      <c r="F1278" s="84" t="s">
        <v>1343</v>
      </c>
    </row>
    <row r="1279" spans="1:6" x14ac:dyDescent="0.25">
      <c r="A1279" s="85" t="s">
        <v>1354</v>
      </c>
      <c r="B1279" s="85" t="s">
        <v>1354</v>
      </c>
      <c r="C1279" s="84" t="s">
        <v>958</v>
      </c>
      <c r="D1279" s="84" t="s">
        <v>1355</v>
      </c>
      <c r="E1279" s="84" t="s">
        <v>955</v>
      </c>
      <c r="F1279" s="84" t="s">
        <v>1343</v>
      </c>
    </row>
    <row r="1280" spans="1:6" x14ac:dyDescent="0.25">
      <c r="A1280" s="85" t="s">
        <v>1356</v>
      </c>
      <c r="B1280" s="85" t="s">
        <v>1356</v>
      </c>
      <c r="C1280" s="84" t="s">
        <v>958</v>
      </c>
      <c r="D1280" s="84" t="s">
        <v>1357</v>
      </c>
      <c r="E1280" s="84" t="s">
        <v>955</v>
      </c>
      <c r="F1280" s="84" t="s">
        <v>1343</v>
      </c>
    </row>
    <row r="1281" spans="1:6" x14ac:dyDescent="0.25">
      <c r="A1281" s="85" t="s">
        <v>2878</v>
      </c>
      <c r="B1281" s="85" t="s">
        <v>2878</v>
      </c>
      <c r="C1281" s="84" t="s">
        <v>958</v>
      </c>
      <c r="D1281" s="84" t="s">
        <v>2879</v>
      </c>
      <c r="E1281" s="84" t="s">
        <v>955</v>
      </c>
      <c r="F1281" s="84" t="s">
        <v>1343</v>
      </c>
    </row>
    <row r="1282" spans="1:6" x14ac:dyDescent="0.25">
      <c r="A1282" s="85" t="s">
        <v>506</v>
      </c>
      <c r="B1282" s="85" t="s">
        <v>506</v>
      </c>
      <c r="C1282" s="84" t="s">
        <v>958</v>
      </c>
      <c r="D1282" s="84" t="s">
        <v>1358</v>
      </c>
      <c r="E1282" s="84" t="s">
        <v>955</v>
      </c>
      <c r="F1282" s="84" t="s">
        <v>1343</v>
      </c>
    </row>
    <row r="1283" spans="1:6" x14ac:dyDescent="0.25">
      <c r="A1283" s="85" t="s">
        <v>508</v>
      </c>
      <c r="B1283" s="85" t="s">
        <v>508</v>
      </c>
      <c r="C1283" s="84" t="s">
        <v>958</v>
      </c>
      <c r="D1283" s="84" t="s">
        <v>1359</v>
      </c>
      <c r="E1283" s="84" t="s">
        <v>955</v>
      </c>
      <c r="F1283" s="84" t="s">
        <v>1343</v>
      </c>
    </row>
    <row r="1284" spans="1:6" x14ac:dyDescent="0.25">
      <c r="A1284" s="85" t="s">
        <v>510</v>
      </c>
      <c r="B1284" s="85" t="s">
        <v>510</v>
      </c>
      <c r="C1284" s="84" t="s">
        <v>958</v>
      </c>
      <c r="D1284" s="84" t="s">
        <v>1360</v>
      </c>
      <c r="E1284" s="84" t="s">
        <v>955</v>
      </c>
      <c r="F1284" s="84" t="s">
        <v>1343</v>
      </c>
    </row>
    <row r="1285" spans="1:6" x14ac:dyDescent="0.25">
      <c r="A1285" s="85" t="s">
        <v>512</v>
      </c>
      <c r="B1285" s="85" t="s">
        <v>512</v>
      </c>
      <c r="C1285" s="84" t="s">
        <v>958</v>
      </c>
      <c r="D1285" s="84" t="s">
        <v>1361</v>
      </c>
      <c r="E1285" s="84" t="s">
        <v>955</v>
      </c>
      <c r="F1285" s="84" t="s">
        <v>1343</v>
      </c>
    </row>
    <row r="1286" spans="1:6" x14ac:dyDescent="0.25">
      <c r="A1286" s="85" t="s">
        <v>514</v>
      </c>
      <c r="B1286" s="85" t="s">
        <v>514</v>
      </c>
      <c r="C1286" s="84" t="s">
        <v>958</v>
      </c>
      <c r="D1286" s="84" t="s">
        <v>1362</v>
      </c>
      <c r="E1286" s="84" t="s">
        <v>955</v>
      </c>
      <c r="F1286" s="84" t="s">
        <v>1343</v>
      </c>
    </row>
    <row r="1287" spans="1:6" x14ac:dyDescent="0.25">
      <c r="A1287" s="85" t="s">
        <v>518</v>
      </c>
      <c r="B1287" s="85" t="s">
        <v>518</v>
      </c>
      <c r="C1287" s="84" t="s">
        <v>958</v>
      </c>
      <c r="D1287" s="84" t="s">
        <v>519</v>
      </c>
      <c r="E1287" s="84" t="s">
        <v>955</v>
      </c>
      <c r="F1287" s="84" t="s">
        <v>1343</v>
      </c>
    </row>
    <row r="1288" spans="1:6" x14ac:dyDescent="0.25">
      <c r="A1288" s="85" t="s">
        <v>749</v>
      </c>
      <c r="B1288" s="85" t="s">
        <v>749</v>
      </c>
      <c r="C1288" s="84" t="s">
        <v>958</v>
      </c>
      <c r="D1288" s="84" t="s">
        <v>1363</v>
      </c>
      <c r="E1288" s="84" t="s">
        <v>955</v>
      </c>
      <c r="F1288" s="84" t="s">
        <v>1343</v>
      </c>
    </row>
    <row r="1289" spans="1:6" x14ac:dyDescent="0.25">
      <c r="A1289" s="85" t="s">
        <v>751</v>
      </c>
      <c r="B1289" s="85" t="s">
        <v>751</v>
      </c>
      <c r="C1289" s="84" t="s">
        <v>958</v>
      </c>
      <c r="D1289" s="84" t="s">
        <v>752</v>
      </c>
      <c r="E1289" s="84" t="s">
        <v>955</v>
      </c>
      <c r="F1289" s="84" t="s">
        <v>1343</v>
      </c>
    </row>
    <row r="1290" spans="1:6" x14ac:dyDescent="0.25">
      <c r="A1290" s="85" t="s">
        <v>2880</v>
      </c>
      <c r="B1290" s="85" t="s">
        <v>2880</v>
      </c>
      <c r="C1290" s="84" t="s">
        <v>958</v>
      </c>
      <c r="D1290" s="84" t="s">
        <v>2881</v>
      </c>
      <c r="E1290" s="84" t="s">
        <v>955</v>
      </c>
      <c r="F1290" s="84" t="s">
        <v>1343</v>
      </c>
    </row>
    <row r="1291" spans="1:6" x14ac:dyDescent="0.25">
      <c r="A1291" s="85" t="s">
        <v>2882</v>
      </c>
      <c r="B1291" s="85" t="s">
        <v>2882</v>
      </c>
      <c r="C1291" s="84" t="s">
        <v>958</v>
      </c>
      <c r="D1291" s="84" t="s">
        <v>2883</v>
      </c>
      <c r="E1291" s="84" t="s">
        <v>955</v>
      </c>
      <c r="F1291" s="84" t="s">
        <v>1343</v>
      </c>
    </row>
    <row r="1292" spans="1:6" x14ac:dyDescent="0.25">
      <c r="A1292" s="85" t="s">
        <v>2884</v>
      </c>
      <c r="B1292" s="85" t="s">
        <v>2884</v>
      </c>
      <c r="C1292" s="84" t="s">
        <v>958</v>
      </c>
      <c r="D1292" s="84" t="s">
        <v>2885</v>
      </c>
      <c r="E1292" s="84" t="s">
        <v>955</v>
      </c>
      <c r="F1292" s="84" t="s">
        <v>1343</v>
      </c>
    </row>
    <row r="1293" spans="1:6" x14ac:dyDescent="0.25">
      <c r="A1293" s="85" t="s">
        <v>2886</v>
      </c>
      <c r="B1293" s="85" t="s">
        <v>2886</v>
      </c>
      <c r="C1293" s="84" t="s">
        <v>958</v>
      </c>
      <c r="D1293" s="84" t="s">
        <v>2887</v>
      </c>
      <c r="E1293" s="84" t="s">
        <v>955</v>
      </c>
      <c r="F1293" s="84" t="s">
        <v>1343</v>
      </c>
    </row>
    <row r="1294" spans="1:6" hidden="1" x14ac:dyDescent="0.25">
      <c r="A1294" s="85">
        <v>92180</v>
      </c>
      <c r="B1294" s="85">
        <v>92180</v>
      </c>
      <c r="C1294" s="84" t="s">
        <v>2888</v>
      </c>
      <c r="D1294" s="84" t="s">
        <v>2889</v>
      </c>
      <c r="E1294" s="84" t="s">
        <v>1399</v>
      </c>
      <c r="F1294" s="84" t="s">
        <v>2890</v>
      </c>
    </row>
    <row r="1295" spans="1:6" hidden="1" x14ac:dyDescent="0.25">
      <c r="A1295" s="85">
        <v>92731</v>
      </c>
      <c r="B1295" s="85">
        <v>92731</v>
      </c>
      <c r="C1295" s="84" t="s">
        <v>2888</v>
      </c>
      <c r="D1295" s="84" t="s">
        <v>2891</v>
      </c>
      <c r="E1295" s="84" t="s">
        <v>1399</v>
      </c>
      <c r="F1295" s="84" t="s">
        <v>2892</v>
      </c>
    </row>
    <row r="1296" spans="1:6" hidden="1" x14ac:dyDescent="0.25">
      <c r="A1296" s="85">
        <v>92732</v>
      </c>
      <c r="B1296" s="85">
        <v>92732</v>
      </c>
      <c r="C1296" s="84" t="s">
        <v>2888</v>
      </c>
      <c r="D1296" s="84" t="s">
        <v>2893</v>
      </c>
      <c r="E1296" s="84" t="s">
        <v>1399</v>
      </c>
      <c r="F1296" s="84" t="s">
        <v>2892</v>
      </c>
    </row>
    <row r="1297" spans="1:6" hidden="1" x14ac:dyDescent="0.25">
      <c r="A1297" s="85" t="s">
        <v>2894</v>
      </c>
      <c r="B1297" s="85">
        <v>95051</v>
      </c>
      <c r="C1297" s="84" t="s">
        <v>2895</v>
      </c>
      <c r="D1297" s="84" t="s">
        <v>2896</v>
      </c>
      <c r="E1297" s="84" t="s">
        <v>1399</v>
      </c>
      <c r="F1297" s="84" t="s">
        <v>2897</v>
      </c>
    </row>
    <row r="1298" spans="1:6" hidden="1" x14ac:dyDescent="0.25">
      <c r="A1298" s="85" t="s">
        <v>2898</v>
      </c>
      <c r="B1298" s="85">
        <v>95061</v>
      </c>
      <c r="C1298" s="84" t="s">
        <v>2895</v>
      </c>
      <c r="D1298" s="84" t="s">
        <v>2899</v>
      </c>
      <c r="E1298" s="84" t="s">
        <v>1399</v>
      </c>
      <c r="F1298" s="84" t="s">
        <v>1400</v>
      </c>
    </row>
    <row r="1299" spans="1:6" hidden="1" x14ac:dyDescent="0.25">
      <c r="A1299" s="85">
        <v>92755</v>
      </c>
      <c r="B1299" s="85">
        <v>92755</v>
      </c>
      <c r="C1299" s="84" t="s">
        <v>2888</v>
      </c>
      <c r="D1299" s="84" t="s">
        <v>2900</v>
      </c>
      <c r="E1299" s="84" t="s">
        <v>1399</v>
      </c>
      <c r="F1299" s="84" t="s">
        <v>1400</v>
      </c>
    </row>
    <row r="1300" spans="1:6" hidden="1" x14ac:dyDescent="0.25">
      <c r="A1300" s="85" t="s">
        <v>91</v>
      </c>
      <c r="B1300" s="85" t="s">
        <v>91</v>
      </c>
      <c r="C1300" s="84" t="s">
        <v>958</v>
      </c>
      <c r="D1300" s="84" t="s">
        <v>709</v>
      </c>
      <c r="E1300" s="84" t="s">
        <v>1399</v>
      </c>
      <c r="F1300" s="84" t="s">
        <v>1400</v>
      </c>
    </row>
    <row r="1301" spans="1:6" hidden="1" x14ac:dyDescent="0.25">
      <c r="A1301" s="85">
        <v>92193</v>
      </c>
      <c r="B1301" s="85">
        <v>92193</v>
      </c>
      <c r="C1301" s="84" t="s">
        <v>2888</v>
      </c>
      <c r="D1301" s="84" t="s">
        <v>2901</v>
      </c>
      <c r="E1301" s="84" t="s">
        <v>1399</v>
      </c>
      <c r="F1301" s="84" t="s">
        <v>2902</v>
      </c>
    </row>
    <row r="1302" spans="1:6" hidden="1" x14ac:dyDescent="0.25">
      <c r="A1302" s="85">
        <v>92780</v>
      </c>
      <c r="B1302" s="85">
        <v>92780</v>
      </c>
      <c r="C1302" s="84" t="s">
        <v>2888</v>
      </c>
      <c r="D1302" s="84" t="s">
        <v>2903</v>
      </c>
      <c r="E1302" s="84" t="s">
        <v>1399</v>
      </c>
      <c r="F1302" s="84" t="s">
        <v>2904</v>
      </c>
    </row>
    <row r="1303" spans="1:6" hidden="1" x14ac:dyDescent="0.25">
      <c r="A1303" s="85">
        <v>92781</v>
      </c>
      <c r="B1303" s="85">
        <v>92781</v>
      </c>
      <c r="C1303" s="84" t="s">
        <v>2888</v>
      </c>
      <c r="D1303" s="84" t="s">
        <v>2905</v>
      </c>
      <c r="E1303" s="84" t="s">
        <v>1399</v>
      </c>
      <c r="F1303" s="84" t="s">
        <v>2904</v>
      </c>
    </row>
    <row r="1304" spans="1:6" hidden="1" x14ac:dyDescent="0.25">
      <c r="A1304" s="85">
        <v>822240</v>
      </c>
      <c r="B1304" s="85">
        <v>822240</v>
      </c>
      <c r="C1304" s="84" t="s">
        <v>357</v>
      </c>
      <c r="D1304" s="84" t="s">
        <v>2906</v>
      </c>
      <c r="E1304" s="84" t="s">
        <v>1399</v>
      </c>
      <c r="F1304" s="84" t="s">
        <v>1402</v>
      </c>
    </row>
    <row r="1305" spans="1:6" hidden="1" x14ac:dyDescent="0.25">
      <c r="A1305" s="85" t="s">
        <v>2907</v>
      </c>
      <c r="B1305" s="85">
        <v>95050</v>
      </c>
      <c r="C1305" s="84" t="s">
        <v>2895</v>
      </c>
      <c r="D1305" s="84" t="s">
        <v>2908</v>
      </c>
      <c r="E1305" s="84" t="s">
        <v>1399</v>
      </c>
      <c r="F1305" s="84" t="s">
        <v>1402</v>
      </c>
    </row>
    <row r="1306" spans="1:6" hidden="1" x14ac:dyDescent="0.25">
      <c r="A1306" s="85" t="s">
        <v>2909</v>
      </c>
      <c r="B1306" s="85">
        <v>95052</v>
      </c>
      <c r="C1306" s="84" t="s">
        <v>2895</v>
      </c>
      <c r="D1306" s="84" t="s">
        <v>2910</v>
      </c>
      <c r="E1306" s="84" t="s">
        <v>1399</v>
      </c>
      <c r="F1306" s="84" t="s">
        <v>1402</v>
      </c>
    </row>
    <row r="1307" spans="1:6" hidden="1" x14ac:dyDescent="0.25">
      <c r="A1307" s="85">
        <v>92771</v>
      </c>
      <c r="B1307" s="85">
        <v>92771</v>
      </c>
      <c r="C1307" s="84" t="s">
        <v>922</v>
      </c>
      <c r="D1307" s="84" t="s">
        <v>2911</v>
      </c>
      <c r="E1307" s="84" t="s">
        <v>1399</v>
      </c>
      <c r="F1307" s="84" t="s">
        <v>1402</v>
      </c>
    </row>
    <row r="1308" spans="1:6" hidden="1" x14ac:dyDescent="0.25">
      <c r="A1308" s="85">
        <v>822230</v>
      </c>
      <c r="B1308" s="85">
        <v>822230</v>
      </c>
      <c r="C1308" s="84" t="s">
        <v>922</v>
      </c>
      <c r="D1308" s="84" t="s">
        <v>2912</v>
      </c>
      <c r="E1308" s="84" t="s">
        <v>1399</v>
      </c>
      <c r="F1308" s="84" t="s">
        <v>1402</v>
      </c>
    </row>
    <row r="1309" spans="1:6" hidden="1" x14ac:dyDescent="0.25">
      <c r="A1309" s="85" t="s">
        <v>2913</v>
      </c>
      <c r="B1309" s="85" t="s">
        <v>2913</v>
      </c>
      <c r="C1309" s="84" t="s">
        <v>922</v>
      </c>
      <c r="D1309" s="84" t="s">
        <v>2914</v>
      </c>
      <c r="E1309" s="84" t="s">
        <v>1399</v>
      </c>
      <c r="F1309" s="84" t="s">
        <v>1402</v>
      </c>
    </row>
    <row r="1310" spans="1:6" hidden="1" x14ac:dyDescent="0.25">
      <c r="A1310" s="85" t="s">
        <v>2915</v>
      </c>
      <c r="B1310" s="85" t="s">
        <v>2915</v>
      </c>
      <c r="C1310" s="84" t="s">
        <v>922</v>
      </c>
      <c r="D1310" s="84" t="s">
        <v>2916</v>
      </c>
      <c r="E1310" s="84" t="s">
        <v>1399</v>
      </c>
      <c r="F1310" s="84" t="s">
        <v>1402</v>
      </c>
    </row>
    <row r="1311" spans="1:6" hidden="1" x14ac:dyDescent="0.25">
      <c r="A1311" s="85" t="s">
        <v>2917</v>
      </c>
      <c r="B1311" s="85" t="s">
        <v>2917</v>
      </c>
      <c r="C1311" s="84" t="s">
        <v>922</v>
      </c>
      <c r="D1311" s="84" t="s">
        <v>2918</v>
      </c>
      <c r="E1311" s="84" t="s">
        <v>1399</v>
      </c>
      <c r="F1311" s="84" t="s">
        <v>1402</v>
      </c>
    </row>
    <row r="1312" spans="1:6" hidden="1" x14ac:dyDescent="0.25">
      <c r="A1312" s="85" t="s">
        <v>2919</v>
      </c>
      <c r="B1312" s="85" t="s">
        <v>2920</v>
      </c>
      <c r="C1312" s="84" t="s">
        <v>922</v>
      </c>
      <c r="D1312" s="84" t="s">
        <v>2921</v>
      </c>
      <c r="E1312" s="84" t="s">
        <v>955</v>
      </c>
      <c r="F1312" s="84" t="s">
        <v>1901</v>
      </c>
    </row>
    <row r="1313" spans="1:6" hidden="1" x14ac:dyDescent="0.25">
      <c r="A1313" s="85" t="s">
        <v>2922</v>
      </c>
      <c r="B1313" s="85" t="s">
        <v>2923</v>
      </c>
      <c r="C1313" s="84" t="s">
        <v>922</v>
      </c>
      <c r="D1313" s="84" t="s">
        <v>2924</v>
      </c>
      <c r="E1313" s="84" t="s">
        <v>955</v>
      </c>
      <c r="F1313" s="84" t="s">
        <v>1901</v>
      </c>
    </row>
    <row r="1314" spans="1:6" hidden="1" x14ac:dyDescent="0.25">
      <c r="A1314" s="85" t="s">
        <v>2925</v>
      </c>
      <c r="B1314" s="85" t="s">
        <v>2926</v>
      </c>
      <c r="C1314" s="84" t="s">
        <v>922</v>
      </c>
      <c r="D1314" s="84" t="s">
        <v>2927</v>
      </c>
      <c r="E1314" s="84" t="s">
        <v>955</v>
      </c>
      <c r="F1314" s="84" t="s">
        <v>1901</v>
      </c>
    </row>
    <row r="1315" spans="1:6" hidden="1" x14ac:dyDescent="0.25">
      <c r="A1315" s="85" t="s">
        <v>2928</v>
      </c>
      <c r="B1315" s="85" t="s">
        <v>2929</v>
      </c>
      <c r="C1315" s="84" t="s">
        <v>922</v>
      </c>
      <c r="D1315" s="84" t="s">
        <v>2930</v>
      </c>
      <c r="E1315" s="84" t="s">
        <v>955</v>
      </c>
      <c r="F1315" s="84" t="s">
        <v>1901</v>
      </c>
    </row>
    <row r="1316" spans="1:6" hidden="1" x14ac:dyDescent="0.25">
      <c r="A1316" s="85" t="s">
        <v>2931</v>
      </c>
      <c r="B1316" s="85" t="s">
        <v>2932</v>
      </c>
      <c r="C1316" s="84" t="s">
        <v>922</v>
      </c>
      <c r="D1316" s="84" t="s">
        <v>2933</v>
      </c>
      <c r="E1316" s="84" t="s">
        <v>955</v>
      </c>
      <c r="F1316" s="84" t="s">
        <v>1901</v>
      </c>
    </row>
    <row r="1317" spans="1:6" hidden="1" x14ac:dyDescent="0.25">
      <c r="A1317" s="85" t="s">
        <v>2934</v>
      </c>
      <c r="B1317" s="85" t="s">
        <v>2935</v>
      </c>
      <c r="C1317" s="84" t="s">
        <v>922</v>
      </c>
      <c r="D1317" s="84" t="s">
        <v>2936</v>
      </c>
      <c r="E1317" s="84" t="s">
        <v>955</v>
      </c>
      <c r="F1317" s="84" t="s">
        <v>1901</v>
      </c>
    </row>
    <row r="1318" spans="1:6" x14ac:dyDescent="0.25">
      <c r="A1318" s="85" t="s">
        <v>2937</v>
      </c>
      <c r="B1318" s="85" t="s">
        <v>2938</v>
      </c>
      <c r="C1318" s="84" t="s">
        <v>922</v>
      </c>
      <c r="D1318" s="84" t="s">
        <v>2939</v>
      </c>
      <c r="E1318" s="84" t="s">
        <v>1399</v>
      </c>
      <c r="F1318" s="84" t="s">
        <v>1402</v>
      </c>
    </row>
    <row r="1319" spans="1:6" hidden="1" x14ac:dyDescent="0.25">
      <c r="A1319" s="85" t="s">
        <v>616</v>
      </c>
      <c r="B1319" s="85" t="s">
        <v>2940</v>
      </c>
      <c r="C1319" s="84" t="s">
        <v>922</v>
      </c>
      <c r="D1319" s="84" t="s">
        <v>1401</v>
      </c>
      <c r="E1319" s="84" t="s">
        <v>1399</v>
      </c>
      <c r="F1319" s="84" t="s">
        <v>1402</v>
      </c>
    </row>
    <row r="1320" spans="1:6" hidden="1" x14ac:dyDescent="0.25">
      <c r="A1320" s="85" t="s">
        <v>617</v>
      </c>
      <c r="B1320" s="85" t="s">
        <v>2941</v>
      </c>
      <c r="C1320" s="84" t="s">
        <v>922</v>
      </c>
      <c r="D1320" s="84" t="s">
        <v>1403</v>
      </c>
      <c r="E1320" s="84" t="s">
        <v>1399</v>
      </c>
      <c r="F1320" s="84" t="s">
        <v>1402</v>
      </c>
    </row>
    <row r="1321" spans="1:6" hidden="1" x14ac:dyDescent="0.25">
      <c r="A1321" s="85" t="s">
        <v>618</v>
      </c>
      <c r="B1321" s="85" t="s">
        <v>2942</v>
      </c>
      <c r="C1321" s="84" t="s">
        <v>922</v>
      </c>
      <c r="D1321" s="84" t="s">
        <v>2943</v>
      </c>
      <c r="E1321" s="84" t="s">
        <v>1399</v>
      </c>
      <c r="F1321" s="84" t="s">
        <v>1402</v>
      </c>
    </row>
    <row r="1322" spans="1:6" hidden="1" x14ac:dyDescent="0.25">
      <c r="A1322" s="85" t="s">
        <v>2944</v>
      </c>
      <c r="B1322" s="85" t="s">
        <v>2945</v>
      </c>
      <c r="C1322" s="84" t="s">
        <v>922</v>
      </c>
      <c r="D1322" s="84" t="s">
        <v>2946</v>
      </c>
      <c r="E1322" s="84" t="s">
        <v>1399</v>
      </c>
      <c r="F1322" s="84" t="s">
        <v>1402</v>
      </c>
    </row>
    <row r="1323" spans="1:6" hidden="1" x14ac:dyDescent="0.25">
      <c r="A1323" s="85" t="s">
        <v>2947</v>
      </c>
      <c r="B1323" s="85" t="s">
        <v>2948</v>
      </c>
      <c r="C1323" s="84" t="s">
        <v>922</v>
      </c>
      <c r="D1323" s="84" t="s">
        <v>2949</v>
      </c>
      <c r="E1323" s="84" t="s">
        <v>1399</v>
      </c>
      <c r="F1323" s="84" t="s">
        <v>1402</v>
      </c>
    </row>
    <row r="1324" spans="1:6" hidden="1" x14ac:dyDescent="0.25">
      <c r="A1324" s="85" t="s">
        <v>2950</v>
      </c>
      <c r="B1324" s="85" t="s">
        <v>2951</v>
      </c>
      <c r="C1324" s="84" t="s">
        <v>922</v>
      </c>
      <c r="D1324" s="84" t="s">
        <v>2952</v>
      </c>
      <c r="E1324" s="84" t="s">
        <v>1399</v>
      </c>
      <c r="F1324" s="84" t="s">
        <v>1402</v>
      </c>
    </row>
    <row r="1325" spans="1:6" hidden="1" x14ac:dyDescent="0.25">
      <c r="A1325" s="85" t="s">
        <v>2953</v>
      </c>
      <c r="B1325" s="85" t="s">
        <v>2954</v>
      </c>
      <c r="C1325" s="84" t="s">
        <v>922</v>
      </c>
      <c r="D1325" s="84" t="s">
        <v>2955</v>
      </c>
      <c r="E1325" s="84" t="s">
        <v>1399</v>
      </c>
      <c r="F1325" s="84" t="s">
        <v>1402</v>
      </c>
    </row>
    <row r="1326" spans="1:6" hidden="1" x14ac:dyDescent="0.25">
      <c r="A1326" s="85" t="s">
        <v>2956</v>
      </c>
      <c r="B1326" s="85" t="s">
        <v>2957</v>
      </c>
      <c r="C1326" s="84" t="s">
        <v>922</v>
      </c>
      <c r="D1326" s="84" t="s">
        <v>2958</v>
      </c>
      <c r="E1326" s="84" t="s">
        <v>1399</v>
      </c>
      <c r="F1326" s="84" t="s">
        <v>1402</v>
      </c>
    </row>
    <row r="1327" spans="1:6" hidden="1" x14ac:dyDescent="0.25">
      <c r="A1327" s="85" t="s">
        <v>2959</v>
      </c>
      <c r="B1327" s="85" t="s">
        <v>2960</v>
      </c>
      <c r="C1327" s="84" t="s">
        <v>922</v>
      </c>
      <c r="D1327" s="84" t="s">
        <v>2961</v>
      </c>
      <c r="E1327" s="84" t="s">
        <v>1399</v>
      </c>
      <c r="F1327" s="84" t="s">
        <v>1402</v>
      </c>
    </row>
    <row r="1328" spans="1:6" hidden="1" x14ac:dyDescent="0.25">
      <c r="A1328" s="85" t="s">
        <v>619</v>
      </c>
      <c r="B1328" s="85" t="s">
        <v>2962</v>
      </c>
      <c r="C1328" s="84" t="s">
        <v>922</v>
      </c>
      <c r="D1328" s="84" t="s">
        <v>1404</v>
      </c>
      <c r="E1328" s="84" t="s">
        <v>1399</v>
      </c>
      <c r="F1328" s="84" t="s">
        <v>1402</v>
      </c>
    </row>
    <row r="1329" spans="1:6" hidden="1" x14ac:dyDescent="0.25">
      <c r="A1329" s="85" t="s">
        <v>620</v>
      </c>
      <c r="B1329" s="85" t="s">
        <v>2963</v>
      </c>
      <c r="C1329" s="84" t="s">
        <v>922</v>
      </c>
      <c r="D1329" s="84" t="s">
        <v>2964</v>
      </c>
      <c r="E1329" s="84" t="s">
        <v>1399</v>
      </c>
      <c r="F1329" s="84" t="s">
        <v>1402</v>
      </c>
    </row>
    <row r="1330" spans="1:6" hidden="1" x14ac:dyDescent="0.25">
      <c r="A1330" s="85" t="s">
        <v>328</v>
      </c>
      <c r="B1330" s="85" t="s">
        <v>2965</v>
      </c>
      <c r="C1330" s="84" t="s">
        <v>922</v>
      </c>
      <c r="D1330" s="84" t="s">
        <v>2966</v>
      </c>
      <c r="E1330" s="84" t="s">
        <v>1399</v>
      </c>
      <c r="F1330" s="84" t="s">
        <v>1402</v>
      </c>
    </row>
    <row r="1331" spans="1:6" hidden="1" x14ac:dyDescent="0.25">
      <c r="A1331" s="85" t="s">
        <v>621</v>
      </c>
      <c r="B1331" s="85" t="s">
        <v>2967</v>
      </c>
      <c r="C1331" s="84" t="s">
        <v>922</v>
      </c>
      <c r="D1331" s="84" t="s">
        <v>1405</v>
      </c>
      <c r="E1331" s="84" t="s">
        <v>1399</v>
      </c>
      <c r="F1331" s="84" t="s">
        <v>1402</v>
      </c>
    </row>
    <row r="1332" spans="1:6" hidden="1" x14ac:dyDescent="0.25">
      <c r="A1332" s="85" t="s">
        <v>2968</v>
      </c>
      <c r="B1332" s="85" t="s">
        <v>2969</v>
      </c>
      <c r="C1332" s="84" t="s">
        <v>922</v>
      </c>
      <c r="D1332" s="84" t="s">
        <v>2970</v>
      </c>
      <c r="E1332" s="84" t="s">
        <v>1399</v>
      </c>
      <c r="F1332" s="84" t="s">
        <v>1402</v>
      </c>
    </row>
    <row r="1333" spans="1:6" hidden="1" x14ac:dyDescent="0.25">
      <c r="A1333" s="85" t="s">
        <v>622</v>
      </c>
      <c r="B1333" s="85" t="s">
        <v>2971</v>
      </c>
      <c r="C1333" s="84" t="s">
        <v>922</v>
      </c>
      <c r="D1333" s="84" t="s">
        <v>1406</v>
      </c>
      <c r="E1333" s="84" t="s">
        <v>1399</v>
      </c>
      <c r="F1333" s="84" t="s">
        <v>1402</v>
      </c>
    </row>
    <row r="1334" spans="1:6" hidden="1" x14ac:dyDescent="0.25">
      <c r="A1334" s="85" t="s">
        <v>623</v>
      </c>
      <c r="B1334" s="85" t="s">
        <v>2972</v>
      </c>
      <c r="C1334" s="84" t="s">
        <v>922</v>
      </c>
      <c r="D1334" s="84" t="s">
        <v>1407</v>
      </c>
      <c r="E1334" s="84" t="s">
        <v>1399</v>
      </c>
      <c r="F1334" s="84" t="s">
        <v>1402</v>
      </c>
    </row>
    <row r="1335" spans="1:6" hidden="1" x14ac:dyDescent="0.25">
      <c r="A1335" s="85" t="s">
        <v>2973</v>
      </c>
      <c r="B1335" s="85" t="s">
        <v>2974</v>
      </c>
      <c r="C1335" s="84" t="s">
        <v>922</v>
      </c>
      <c r="D1335" s="84" t="s">
        <v>2975</v>
      </c>
      <c r="E1335" s="84" t="s">
        <v>1399</v>
      </c>
      <c r="F1335" s="84" t="s">
        <v>1402</v>
      </c>
    </row>
    <row r="1336" spans="1:6" hidden="1" x14ac:dyDescent="0.25">
      <c r="A1336" s="85" t="s">
        <v>2976</v>
      </c>
      <c r="B1336" s="85" t="s">
        <v>2977</v>
      </c>
      <c r="C1336" s="84" t="s">
        <v>922</v>
      </c>
      <c r="D1336" s="84" t="s">
        <v>2978</v>
      </c>
      <c r="E1336" s="84" t="s">
        <v>1399</v>
      </c>
      <c r="F1336" s="84" t="s">
        <v>1402</v>
      </c>
    </row>
    <row r="1337" spans="1:6" hidden="1" x14ac:dyDescent="0.25">
      <c r="A1337" s="85" t="s">
        <v>2979</v>
      </c>
      <c r="B1337" s="85" t="s">
        <v>2980</v>
      </c>
      <c r="C1337" s="84" t="s">
        <v>922</v>
      </c>
      <c r="D1337" s="84" t="s">
        <v>2981</v>
      </c>
      <c r="E1337" s="84" t="s">
        <v>1399</v>
      </c>
      <c r="F1337" s="84" t="s">
        <v>1402</v>
      </c>
    </row>
    <row r="1338" spans="1:6" hidden="1" x14ac:dyDescent="0.25">
      <c r="A1338" s="85" t="s">
        <v>329</v>
      </c>
      <c r="B1338" s="85" t="s">
        <v>2982</v>
      </c>
      <c r="C1338" s="84" t="s">
        <v>922</v>
      </c>
      <c r="D1338" s="84" t="s">
        <v>2983</v>
      </c>
      <c r="E1338" s="84" t="s">
        <v>1399</v>
      </c>
      <c r="F1338" s="84" t="s">
        <v>1402</v>
      </c>
    </row>
    <row r="1339" spans="1:6" hidden="1" x14ac:dyDescent="0.25">
      <c r="A1339" s="85" t="s">
        <v>2984</v>
      </c>
      <c r="B1339" s="85" t="s">
        <v>2985</v>
      </c>
      <c r="C1339" s="84" t="s">
        <v>922</v>
      </c>
      <c r="D1339" s="84" t="s">
        <v>2986</v>
      </c>
      <c r="E1339" s="84" t="s">
        <v>1399</v>
      </c>
      <c r="F1339" s="84" t="s">
        <v>1402</v>
      </c>
    </row>
    <row r="1340" spans="1:6" hidden="1" x14ac:dyDescent="0.25">
      <c r="A1340" s="85" t="s">
        <v>2987</v>
      </c>
      <c r="B1340" s="85" t="s">
        <v>2988</v>
      </c>
      <c r="C1340" s="84" t="s">
        <v>922</v>
      </c>
      <c r="D1340" s="84" t="s">
        <v>2989</v>
      </c>
      <c r="E1340" s="84" t="s">
        <v>1399</v>
      </c>
      <c r="F1340" s="84" t="s">
        <v>1402</v>
      </c>
    </row>
    <row r="1341" spans="1:6" hidden="1" x14ac:dyDescent="0.25">
      <c r="A1341" s="85" t="s">
        <v>2990</v>
      </c>
      <c r="B1341" s="85" t="s">
        <v>2991</v>
      </c>
      <c r="C1341" s="84" t="s">
        <v>922</v>
      </c>
      <c r="D1341" s="84" t="s">
        <v>2992</v>
      </c>
      <c r="E1341" s="84" t="s">
        <v>1399</v>
      </c>
      <c r="F1341" s="84" t="s">
        <v>1402</v>
      </c>
    </row>
    <row r="1342" spans="1:6" hidden="1" x14ac:dyDescent="0.25">
      <c r="A1342" s="85" t="s">
        <v>2993</v>
      </c>
      <c r="B1342" s="85" t="s">
        <v>2994</v>
      </c>
      <c r="C1342" s="84" t="s">
        <v>922</v>
      </c>
      <c r="D1342" s="84" t="s">
        <v>2995</v>
      </c>
      <c r="E1342" s="84" t="s">
        <v>1399</v>
      </c>
      <c r="F1342" s="84" t="s">
        <v>1402</v>
      </c>
    </row>
    <row r="1343" spans="1:6" hidden="1" x14ac:dyDescent="0.25">
      <c r="A1343" s="85" t="s">
        <v>2996</v>
      </c>
      <c r="B1343" s="85" t="s">
        <v>2997</v>
      </c>
      <c r="C1343" s="84" t="s">
        <v>922</v>
      </c>
      <c r="D1343" s="84" t="s">
        <v>2998</v>
      </c>
      <c r="E1343" s="84" t="s">
        <v>1399</v>
      </c>
      <c r="F1343" s="84" t="s">
        <v>1402</v>
      </c>
    </row>
    <row r="1344" spans="1:6" hidden="1" x14ac:dyDescent="0.25">
      <c r="A1344" s="85" t="s">
        <v>327</v>
      </c>
      <c r="B1344" s="85" t="s">
        <v>2999</v>
      </c>
      <c r="C1344" s="84" t="s">
        <v>922</v>
      </c>
      <c r="D1344" s="84" t="s">
        <v>3000</v>
      </c>
      <c r="E1344" s="84" t="s">
        <v>1399</v>
      </c>
      <c r="F1344" s="84" t="s">
        <v>1402</v>
      </c>
    </row>
    <row r="1345" spans="1:6" hidden="1" x14ac:dyDescent="0.25">
      <c r="A1345" s="85" t="s">
        <v>624</v>
      </c>
      <c r="B1345" s="85" t="s">
        <v>3001</v>
      </c>
      <c r="C1345" s="84" t="s">
        <v>922</v>
      </c>
      <c r="D1345" s="84" t="s">
        <v>3002</v>
      </c>
      <c r="E1345" s="84" t="s">
        <v>1399</v>
      </c>
      <c r="F1345" s="84" t="s">
        <v>1402</v>
      </c>
    </row>
    <row r="1346" spans="1:6" hidden="1" x14ac:dyDescent="0.25">
      <c r="A1346" s="85" t="s">
        <v>3003</v>
      </c>
      <c r="B1346" s="85" t="s">
        <v>3004</v>
      </c>
      <c r="C1346" s="84" t="s">
        <v>922</v>
      </c>
      <c r="D1346" s="84" t="s">
        <v>3005</v>
      </c>
      <c r="E1346" s="84" t="s">
        <v>1399</v>
      </c>
      <c r="F1346" s="84" t="s">
        <v>1402</v>
      </c>
    </row>
    <row r="1347" spans="1:6" hidden="1" x14ac:dyDescent="0.25">
      <c r="A1347" s="85" t="s">
        <v>3006</v>
      </c>
      <c r="B1347" s="85" t="s">
        <v>3007</v>
      </c>
      <c r="C1347" s="84" t="s">
        <v>922</v>
      </c>
      <c r="D1347" s="84" t="s">
        <v>3008</v>
      </c>
      <c r="E1347" s="84" t="s">
        <v>1399</v>
      </c>
      <c r="F1347" s="84" t="s">
        <v>1402</v>
      </c>
    </row>
    <row r="1348" spans="1:6" x14ac:dyDescent="0.25">
      <c r="A1348" s="85" t="s">
        <v>3009</v>
      </c>
      <c r="B1348" s="85" t="s">
        <v>3010</v>
      </c>
      <c r="C1348" s="84" t="s">
        <v>922</v>
      </c>
      <c r="D1348" s="84" t="s">
        <v>3011</v>
      </c>
      <c r="E1348" s="84" t="s">
        <v>1399</v>
      </c>
      <c r="F1348" s="84" t="s">
        <v>1402</v>
      </c>
    </row>
    <row r="1349" spans="1:6" x14ac:dyDescent="0.25">
      <c r="A1349" s="85" t="s">
        <v>3012</v>
      </c>
      <c r="B1349" s="85" t="s">
        <v>3013</v>
      </c>
      <c r="C1349" s="84" t="s">
        <v>922</v>
      </c>
      <c r="D1349" s="84" t="s">
        <v>3014</v>
      </c>
      <c r="E1349" s="84" t="s">
        <v>1399</v>
      </c>
      <c r="F1349" s="84" t="s">
        <v>1402</v>
      </c>
    </row>
    <row r="1350" spans="1:6" x14ac:dyDescent="0.25">
      <c r="A1350" s="85" t="s">
        <v>3015</v>
      </c>
      <c r="B1350" s="85" t="s">
        <v>3016</v>
      </c>
      <c r="C1350" s="84" t="s">
        <v>922</v>
      </c>
      <c r="D1350" s="84" t="s">
        <v>3017</v>
      </c>
      <c r="E1350" s="84" t="s">
        <v>1399</v>
      </c>
      <c r="F1350" s="84" t="s">
        <v>1402</v>
      </c>
    </row>
    <row r="1351" spans="1:6" x14ac:dyDescent="0.25">
      <c r="A1351" s="85" t="s">
        <v>3018</v>
      </c>
      <c r="B1351" s="85" t="s">
        <v>3019</v>
      </c>
      <c r="C1351" s="84" t="s">
        <v>922</v>
      </c>
      <c r="D1351" s="84" t="s">
        <v>3020</v>
      </c>
      <c r="E1351" s="84" t="s">
        <v>1399</v>
      </c>
      <c r="F1351" s="84" t="s">
        <v>1402</v>
      </c>
    </row>
    <row r="1352" spans="1:6" x14ac:dyDescent="0.25">
      <c r="A1352" s="85" t="s">
        <v>3021</v>
      </c>
      <c r="B1352" s="85" t="s">
        <v>3022</v>
      </c>
      <c r="C1352" s="84" t="s">
        <v>922</v>
      </c>
      <c r="D1352" s="84" t="s">
        <v>3023</v>
      </c>
      <c r="E1352" s="84" t="s">
        <v>1399</v>
      </c>
      <c r="F1352" s="84" t="s">
        <v>1402</v>
      </c>
    </row>
    <row r="1353" spans="1:6" x14ac:dyDescent="0.25">
      <c r="A1353" s="85" t="s">
        <v>3024</v>
      </c>
      <c r="B1353" s="85" t="s">
        <v>3025</v>
      </c>
      <c r="C1353" s="84" t="s">
        <v>922</v>
      </c>
      <c r="D1353" s="84" t="s">
        <v>3026</v>
      </c>
      <c r="E1353" s="84" t="s">
        <v>1399</v>
      </c>
      <c r="F1353" s="84" t="s">
        <v>1402</v>
      </c>
    </row>
    <row r="1354" spans="1:6" x14ac:dyDescent="0.25">
      <c r="A1354" s="85" t="s">
        <v>3027</v>
      </c>
      <c r="B1354" s="85" t="s">
        <v>3028</v>
      </c>
      <c r="C1354" s="84" t="s">
        <v>922</v>
      </c>
      <c r="D1354" s="84" t="s">
        <v>3029</v>
      </c>
      <c r="E1354" s="84" t="s">
        <v>1399</v>
      </c>
      <c r="F1354" s="84" t="s">
        <v>1402</v>
      </c>
    </row>
    <row r="1355" spans="1:6" x14ac:dyDescent="0.25">
      <c r="A1355" s="85" t="s">
        <v>3030</v>
      </c>
      <c r="B1355" s="85" t="s">
        <v>3031</v>
      </c>
      <c r="C1355" s="84" t="s">
        <v>922</v>
      </c>
      <c r="D1355" s="84" t="s">
        <v>3032</v>
      </c>
      <c r="E1355" s="84" t="s">
        <v>1399</v>
      </c>
      <c r="F1355" s="84" t="s">
        <v>1402</v>
      </c>
    </row>
    <row r="1356" spans="1:6" x14ac:dyDescent="0.25">
      <c r="A1356" s="85" t="s">
        <v>3033</v>
      </c>
      <c r="B1356" s="85" t="s">
        <v>3034</v>
      </c>
      <c r="C1356" s="84" t="s">
        <v>922</v>
      </c>
      <c r="D1356" s="84" t="s">
        <v>3035</v>
      </c>
      <c r="E1356" s="84" t="s">
        <v>1399</v>
      </c>
      <c r="F1356" s="84" t="s">
        <v>1402</v>
      </c>
    </row>
    <row r="1357" spans="1:6" x14ac:dyDescent="0.25">
      <c r="A1357" s="85" t="s">
        <v>3036</v>
      </c>
      <c r="B1357" s="85" t="s">
        <v>3037</v>
      </c>
      <c r="C1357" s="84" t="s">
        <v>922</v>
      </c>
      <c r="D1357" s="84" t="s">
        <v>3038</v>
      </c>
      <c r="E1357" s="84" t="s">
        <v>1399</v>
      </c>
      <c r="F1357" s="84" t="s">
        <v>1402</v>
      </c>
    </row>
    <row r="1358" spans="1:6" x14ac:dyDescent="0.25">
      <c r="A1358" s="85" t="s">
        <v>3039</v>
      </c>
      <c r="B1358" s="85" t="s">
        <v>3040</v>
      </c>
      <c r="C1358" s="84" t="s">
        <v>922</v>
      </c>
      <c r="D1358" s="84" t="s">
        <v>3041</v>
      </c>
      <c r="E1358" s="84" t="s">
        <v>1399</v>
      </c>
      <c r="F1358" s="84" t="s">
        <v>1402</v>
      </c>
    </row>
    <row r="1359" spans="1:6" x14ac:dyDescent="0.25">
      <c r="A1359" s="85" t="s">
        <v>3042</v>
      </c>
      <c r="B1359" s="85" t="s">
        <v>3043</v>
      </c>
      <c r="C1359" s="84" t="s">
        <v>922</v>
      </c>
      <c r="D1359" s="84" t="s">
        <v>3044</v>
      </c>
      <c r="E1359" s="84" t="s">
        <v>1399</v>
      </c>
      <c r="F1359" s="84" t="s">
        <v>1402</v>
      </c>
    </row>
    <row r="1360" spans="1:6" x14ac:dyDescent="0.25">
      <c r="A1360" s="85" t="s">
        <v>3045</v>
      </c>
      <c r="B1360" s="85" t="s">
        <v>3046</v>
      </c>
      <c r="C1360" s="84" t="s">
        <v>922</v>
      </c>
      <c r="D1360" s="84" t="s">
        <v>3047</v>
      </c>
      <c r="E1360" s="84" t="s">
        <v>1399</v>
      </c>
      <c r="F1360" s="84" t="s">
        <v>1402</v>
      </c>
    </row>
    <row r="1361" spans="1:6" x14ac:dyDescent="0.25">
      <c r="A1361" s="85" t="s">
        <v>3048</v>
      </c>
      <c r="B1361" s="85" t="s">
        <v>3049</v>
      </c>
      <c r="C1361" s="84" t="s">
        <v>922</v>
      </c>
      <c r="D1361" s="84" t="s">
        <v>3050</v>
      </c>
      <c r="E1361" s="84" t="s">
        <v>1399</v>
      </c>
      <c r="F1361" s="84" t="s">
        <v>1402</v>
      </c>
    </row>
    <row r="1362" spans="1:6" x14ac:dyDescent="0.25">
      <c r="A1362" s="85" t="s">
        <v>3051</v>
      </c>
      <c r="B1362" s="85" t="s">
        <v>3052</v>
      </c>
      <c r="C1362" s="84" t="s">
        <v>922</v>
      </c>
      <c r="D1362" s="84" t="s">
        <v>3053</v>
      </c>
      <c r="E1362" s="84" t="s">
        <v>1399</v>
      </c>
      <c r="F1362" s="84" t="s">
        <v>1402</v>
      </c>
    </row>
    <row r="1363" spans="1:6" x14ac:dyDescent="0.25">
      <c r="A1363" s="85" t="s">
        <v>3054</v>
      </c>
      <c r="B1363" s="85" t="s">
        <v>3055</v>
      </c>
      <c r="C1363" s="84" t="s">
        <v>922</v>
      </c>
      <c r="D1363" s="84" t="s">
        <v>3056</v>
      </c>
      <c r="E1363" s="84" t="s">
        <v>1399</v>
      </c>
      <c r="F1363" s="84" t="s">
        <v>1402</v>
      </c>
    </row>
    <row r="1364" spans="1:6" x14ac:dyDescent="0.25">
      <c r="A1364" s="85" t="s">
        <v>3057</v>
      </c>
      <c r="B1364" s="85" t="s">
        <v>3058</v>
      </c>
      <c r="C1364" s="84" t="s">
        <v>922</v>
      </c>
      <c r="D1364" s="84" t="s">
        <v>3059</v>
      </c>
      <c r="E1364" s="84" t="s">
        <v>1399</v>
      </c>
      <c r="F1364" s="84" t="s">
        <v>1402</v>
      </c>
    </row>
    <row r="1365" spans="1:6" x14ac:dyDescent="0.25">
      <c r="A1365" s="85" t="s">
        <v>3060</v>
      </c>
      <c r="B1365" s="85" t="s">
        <v>3061</v>
      </c>
      <c r="C1365" s="84" t="s">
        <v>922</v>
      </c>
      <c r="D1365" s="84" t="s">
        <v>3062</v>
      </c>
      <c r="E1365" s="84" t="s">
        <v>1399</v>
      </c>
      <c r="F1365" s="84" t="s">
        <v>1402</v>
      </c>
    </row>
    <row r="1366" spans="1:6" x14ac:dyDescent="0.25">
      <c r="A1366" s="85" t="s">
        <v>3063</v>
      </c>
      <c r="B1366" s="85" t="s">
        <v>3064</v>
      </c>
      <c r="C1366" s="84" t="s">
        <v>922</v>
      </c>
      <c r="D1366" s="84" t="s">
        <v>3065</v>
      </c>
      <c r="E1366" s="84" t="s">
        <v>1399</v>
      </c>
      <c r="F1366" s="84" t="s">
        <v>1402</v>
      </c>
    </row>
    <row r="1367" spans="1:6" x14ac:dyDescent="0.25">
      <c r="A1367" s="85" t="s">
        <v>3066</v>
      </c>
      <c r="B1367" s="85" t="s">
        <v>3067</v>
      </c>
      <c r="C1367" s="84" t="s">
        <v>922</v>
      </c>
      <c r="D1367" s="84" t="s">
        <v>3068</v>
      </c>
      <c r="E1367" s="84" t="s">
        <v>1399</v>
      </c>
      <c r="F1367" s="84" t="s">
        <v>1402</v>
      </c>
    </row>
    <row r="1368" spans="1:6" x14ac:dyDescent="0.25">
      <c r="A1368" s="85" t="s">
        <v>3069</v>
      </c>
      <c r="B1368" s="85" t="s">
        <v>3070</v>
      </c>
      <c r="C1368" s="84" t="s">
        <v>922</v>
      </c>
      <c r="D1368" s="84" t="s">
        <v>3071</v>
      </c>
      <c r="E1368" s="84" t="s">
        <v>1399</v>
      </c>
      <c r="F1368" s="84" t="s">
        <v>1402</v>
      </c>
    </row>
    <row r="1369" spans="1:6" x14ac:dyDescent="0.25">
      <c r="A1369" s="85" t="s">
        <v>3072</v>
      </c>
      <c r="B1369" s="85" t="s">
        <v>3073</v>
      </c>
      <c r="C1369" s="84" t="s">
        <v>922</v>
      </c>
      <c r="D1369" s="84" t="s">
        <v>3074</v>
      </c>
      <c r="E1369" s="84" t="s">
        <v>1399</v>
      </c>
      <c r="F1369" s="84" t="s">
        <v>1402</v>
      </c>
    </row>
    <row r="1370" spans="1:6" x14ac:dyDescent="0.25">
      <c r="A1370" s="85" t="s">
        <v>3075</v>
      </c>
      <c r="B1370" s="85" t="s">
        <v>3076</v>
      </c>
      <c r="C1370" s="84" t="s">
        <v>922</v>
      </c>
      <c r="D1370" s="84" t="s">
        <v>3077</v>
      </c>
      <c r="E1370" s="84" t="s">
        <v>1399</v>
      </c>
      <c r="F1370" s="84" t="s">
        <v>1402</v>
      </c>
    </row>
    <row r="1371" spans="1:6" x14ac:dyDescent="0.25">
      <c r="A1371" s="85" t="s">
        <v>3078</v>
      </c>
      <c r="B1371" s="85" t="s">
        <v>3079</v>
      </c>
      <c r="C1371" s="84" t="s">
        <v>922</v>
      </c>
      <c r="D1371" s="84" t="s">
        <v>3080</v>
      </c>
      <c r="E1371" s="84" t="s">
        <v>1399</v>
      </c>
      <c r="F1371" s="84" t="s">
        <v>1402</v>
      </c>
    </row>
    <row r="1372" spans="1:6" hidden="1" x14ac:dyDescent="0.25">
      <c r="A1372" s="85">
        <v>92772</v>
      </c>
      <c r="B1372" s="85">
        <v>92772</v>
      </c>
      <c r="C1372" s="84" t="s">
        <v>2888</v>
      </c>
      <c r="D1372" s="84" t="s">
        <v>3081</v>
      </c>
      <c r="E1372" s="84" t="s">
        <v>1399</v>
      </c>
      <c r="F1372" s="84" t="s">
        <v>1402</v>
      </c>
    </row>
    <row r="1373" spans="1:6" hidden="1" x14ac:dyDescent="0.25">
      <c r="A1373" s="85" t="s">
        <v>3082</v>
      </c>
      <c r="B1373" s="85" t="s">
        <v>3082</v>
      </c>
      <c r="C1373" s="84" t="s">
        <v>958</v>
      </c>
      <c r="D1373" s="84" t="s">
        <v>3083</v>
      </c>
      <c r="E1373" s="84" t="s">
        <v>1399</v>
      </c>
      <c r="F1373" s="84" t="s">
        <v>1402</v>
      </c>
    </row>
    <row r="1374" spans="1:6" hidden="1" x14ac:dyDescent="0.25">
      <c r="A1374" s="85" t="s">
        <v>3084</v>
      </c>
      <c r="B1374" s="85" t="s">
        <v>3084</v>
      </c>
      <c r="C1374" s="84" t="s">
        <v>958</v>
      </c>
      <c r="D1374" s="84" t="s">
        <v>3085</v>
      </c>
      <c r="E1374" s="84" t="s">
        <v>1399</v>
      </c>
      <c r="F1374" s="84" t="s">
        <v>1402</v>
      </c>
    </row>
    <row r="1375" spans="1:6" hidden="1" x14ac:dyDescent="0.25">
      <c r="A1375" s="85" t="s">
        <v>3086</v>
      </c>
      <c r="B1375" s="85" t="s">
        <v>3086</v>
      </c>
      <c r="C1375" s="84" t="s">
        <v>958</v>
      </c>
      <c r="D1375" s="84" t="s">
        <v>3087</v>
      </c>
      <c r="E1375" s="84" t="s">
        <v>1399</v>
      </c>
      <c r="F1375" s="84" t="s">
        <v>1402</v>
      </c>
    </row>
    <row r="1376" spans="1:6" hidden="1" x14ac:dyDescent="0.25">
      <c r="A1376" s="85" t="s">
        <v>3088</v>
      </c>
      <c r="B1376" s="85" t="s">
        <v>3088</v>
      </c>
      <c r="C1376" s="84" t="s">
        <v>958</v>
      </c>
      <c r="D1376" s="84" t="s">
        <v>3089</v>
      </c>
      <c r="E1376" s="84" t="s">
        <v>1399</v>
      </c>
      <c r="F1376" s="84" t="s">
        <v>1402</v>
      </c>
    </row>
    <row r="1377" spans="1:6" hidden="1" x14ac:dyDescent="0.25">
      <c r="A1377" s="85" t="s">
        <v>768</v>
      </c>
      <c r="B1377" s="85" t="s">
        <v>768</v>
      </c>
      <c r="C1377" s="84" t="s">
        <v>958</v>
      </c>
      <c r="D1377" s="84" t="s">
        <v>3090</v>
      </c>
      <c r="E1377" s="84" t="s">
        <v>1399</v>
      </c>
      <c r="F1377" s="84" t="s">
        <v>1402</v>
      </c>
    </row>
    <row r="1378" spans="1:6" hidden="1" x14ac:dyDescent="0.25">
      <c r="A1378" s="85" t="s">
        <v>3091</v>
      </c>
      <c r="B1378" s="85" t="s">
        <v>3091</v>
      </c>
      <c r="C1378" s="84" t="s">
        <v>958</v>
      </c>
      <c r="D1378" s="84" t="s">
        <v>3092</v>
      </c>
      <c r="E1378" s="84" t="s">
        <v>1399</v>
      </c>
      <c r="F1378" s="84" t="s">
        <v>1402</v>
      </c>
    </row>
    <row r="1379" spans="1:6" hidden="1" x14ac:dyDescent="0.25">
      <c r="A1379" s="85" t="s">
        <v>319</v>
      </c>
      <c r="B1379" s="85" t="s">
        <v>319</v>
      </c>
      <c r="C1379" s="84" t="s">
        <v>958</v>
      </c>
      <c r="D1379" s="84" t="s">
        <v>320</v>
      </c>
      <c r="E1379" s="84" t="s">
        <v>1399</v>
      </c>
      <c r="F1379" s="84" t="s">
        <v>1402</v>
      </c>
    </row>
    <row r="1380" spans="1:6" hidden="1" x14ac:dyDescent="0.25">
      <c r="A1380" s="85" t="s">
        <v>3093</v>
      </c>
      <c r="B1380" s="85" t="s">
        <v>3093</v>
      </c>
      <c r="C1380" s="84" t="s">
        <v>958</v>
      </c>
      <c r="D1380" s="84" t="s">
        <v>3094</v>
      </c>
      <c r="E1380" s="84" t="s">
        <v>1399</v>
      </c>
      <c r="F1380" s="84" t="s">
        <v>1402</v>
      </c>
    </row>
    <row r="1381" spans="1:6" hidden="1" x14ac:dyDescent="0.25">
      <c r="A1381" s="85" t="s">
        <v>309</v>
      </c>
      <c r="B1381" s="85" t="s">
        <v>309</v>
      </c>
      <c r="C1381" s="84" t="s">
        <v>958</v>
      </c>
      <c r="D1381" s="84" t="s">
        <v>310</v>
      </c>
      <c r="E1381" s="84" t="s">
        <v>1399</v>
      </c>
      <c r="F1381" s="84" t="s">
        <v>1402</v>
      </c>
    </row>
    <row r="1382" spans="1:6" hidden="1" x14ac:dyDescent="0.25">
      <c r="A1382" s="85" t="s">
        <v>625</v>
      </c>
      <c r="B1382" s="85" t="s">
        <v>625</v>
      </c>
      <c r="C1382" s="84" t="s">
        <v>958</v>
      </c>
      <c r="D1382" s="84" t="s">
        <v>626</v>
      </c>
      <c r="E1382" s="84" t="s">
        <v>1399</v>
      </c>
      <c r="F1382" s="84" t="s">
        <v>1402</v>
      </c>
    </row>
    <row r="1383" spans="1:6" hidden="1" x14ac:dyDescent="0.25">
      <c r="A1383" s="85" t="s">
        <v>627</v>
      </c>
      <c r="B1383" s="85" t="s">
        <v>627</v>
      </c>
      <c r="C1383" s="84" t="s">
        <v>958</v>
      </c>
      <c r="D1383" s="84" t="s">
        <v>628</v>
      </c>
      <c r="E1383" s="84" t="s">
        <v>1399</v>
      </c>
      <c r="F1383" s="84" t="s">
        <v>1402</v>
      </c>
    </row>
    <row r="1384" spans="1:6" hidden="1" x14ac:dyDescent="0.25">
      <c r="A1384" s="85" t="s">
        <v>629</v>
      </c>
      <c r="B1384" s="85" t="s">
        <v>629</v>
      </c>
      <c r="C1384" s="84" t="s">
        <v>958</v>
      </c>
      <c r="D1384" s="84" t="s">
        <v>630</v>
      </c>
      <c r="E1384" s="84" t="s">
        <v>1399</v>
      </c>
      <c r="F1384" s="84" t="s">
        <v>1402</v>
      </c>
    </row>
    <row r="1385" spans="1:6" hidden="1" x14ac:dyDescent="0.25">
      <c r="A1385" s="85" t="s">
        <v>311</v>
      </c>
      <c r="B1385" s="85" t="s">
        <v>311</v>
      </c>
      <c r="C1385" s="84" t="s">
        <v>958</v>
      </c>
      <c r="D1385" s="84" t="s">
        <v>312</v>
      </c>
      <c r="E1385" s="84" t="s">
        <v>1399</v>
      </c>
      <c r="F1385" s="84" t="s">
        <v>1402</v>
      </c>
    </row>
    <row r="1386" spans="1:6" hidden="1" x14ac:dyDescent="0.25">
      <c r="A1386" s="85" t="s">
        <v>3095</v>
      </c>
      <c r="B1386" s="85" t="s">
        <v>3095</v>
      </c>
      <c r="C1386" s="84" t="s">
        <v>958</v>
      </c>
      <c r="D1386" s="84" t="s">
        <v>3096</v>
      </c>
      <c r="E1386" s="84" t="s">
        <v>1399</v>
      </c>
      <c r="F1386" s="84" t="s">
        <v>1402</v>
      </c>
    </row>
    <row r="1387" spans="1:6" hidden="1" x14ac:dyDescent="0.25">
      <c r="A1387" s="85" t="s">
        <v>313</v>
      </c>
      <c r="B1387" s="85" t="s">
        <v>313</v>
      </c>
      <c r="C1387" s="84" t="s">
        <v>958</v>
      </c>
      <c r="D1387" s="84" t="s">
        <v>314</v>
      </c>
      <c r="E1387" s="84" t="s">
        <v>1399</v>
      </c>
      <c r="F1387" s="84" t="s">
        <v>1402</v>
      </c>
    </row>
    <row r="1388" spans="1:6" hidden="1" x14ac:dyDescent="0.25">
      <c r="A1388" s="85" t="s">
        <v>631</v>
      </c>
      <c r="B1388" s="85" t="s">
        <v>631</v>
      </c>
      <c r="C1388" s="84" t="s">
        <v>958</v>
      </c>
      <c r="D1388" s="84" t="s">
        <v>632</v>
      </c>
      <c r="E1388" s="84" t="s">
        <v>1399</v>
      </c>
      <c r="F1388" s="84" t="s">
        <v>1402</v>
      </c>
    </row>
    <row r="1389" spans="1:6" hidden="1" x14ac:dyDescent="0.25">
      <c r="A1389" s="85" t="s">
        <v>3097</v>
      </c>
      <c r="B1389" s="85" t="s">
        <v>3097</v>
      </c>
      <c r="C1389" s="84" t="s">
        <v>958</v>
      </c>
      <c r="D1389" s="84" t="s">
        <v>3098</v>
      </c>
      <c r="E1389" s="84" t="s">
        <v>1399</v>
      </c>
      <c r="F1389" s="84" t="s">
        <v>1402</v>
      </c>
    </row>
    <row r="1390" spans="1:6" hidden="1" x14ac:dyDescent="0.25">
      <c r="A1390" s="85" t="s">
        <v>3099</v>
      </c>
      <c r="B1390" s="85" t="s">
        <v>3099</v>
      </c>
      <c r="C1390" s="84" t="s">
        <v>958</v>
      </c>
      <c r="D1390" s="84" t="s">
        <v>3100</v>
      </c>
      <c r="E1390" s="84" t="s">
        <v>1399</v>
      </c>
      <c r="F1390" s="84" t="s">
        <v>1402</v>
      </c>
    </row>
    <row r="1391" spans="1:6" hidden="1" x14ac:dyDescent="0.25">
      <c r="A1391" s="85" t="s">
        <v>633</v>
      </c>
      <c r="B1391" s="85" t="s">
        <v>633</v>
      </c>
      <c r="C1391" s="84" t="s">
        <v>958</v>
      </c>
      <c r="D1391" s="84" t="s">
        <v>634</v>
      </c>
      <c r="E1391" s="84" t="s">
        <v>1399</v>
      </c>
      <c r="F1391" s="84" t="s">
        <v>1402</v>
      </c>
    </row>
    <row r="1392" spans="1:6" hidden="1" x14ac:dyDescent="0.25">
      <c r="A1392" s="85" t="s">
        <v>3101</v>
      </c>
      <c r="B1392" s="85" t="s">
        <v>3101</v>
      </c>
      <c r="C1392" s="84" t="s">
        <v>958</v>
      </c>
      <c r="D1392" s="84" t="s">
        <v>3102</v>
      </c>
      <c r="E1392" s="84" t="s">
        <v>1399</v>
      </c>
      <c r="F1392" s="84" t="s">
        <v>1402</v>
      </c>
    </row>
    <row r="1393" spans="1:6" hidden="1" x14ac:dyDescent="0.25">
      <c r="A1393" s="85" t="s">
        <v>3103</v>
      </c>
      <c r="B1393" s="85" t="s">
        <v>3103</v>
      </c>
      <c r="C1393" s="84" t="s">
        <v>958</v>
      </c>
      <c r="D1393" s="84" t="s">
        <v>3104</v>
      </c>
      <c r="E1393" s="84" t="s">
        <v>1399</v>
      </c>
      <c r="F1393" s="84" t="s">
        <v>1402</v>
      </c>
    </row>
    <row r="1394" spans="1:6" hidden="1" x14ac:dyDescent="0.25">
      <c r="A1394" s="85" t="s">
        <v>635</v>
      </c>
      <c r="B1394" s="85" t="s">
        <v>635</v>
      </c>
      <c r="C1394" s="84" t="s">
        <v>958</v>
      </c>
      <c r="D1394" s="84" t="s">
        <v>636</v>
      </c>
      <c r="E1394" s="84" t="s">
        <v>1399</v>
      </c>
      <c r="F1394" s="84" t="s">
        <v>1402</v>
      </c>
    </row>
    <row r="1395" spans="1:6" hidden="1" x14ac:dyDescent="0.25">
      <c r="A1395" s="85" t="s">
        <v>796</v>
      </c>
      <c r="B1395" s="85" t="s">
        <v>796</v>
      </c>
      <c r="C1395" s="84" t="s">
        <v>958</v>
      </c>
      <c r="D1395" s="84" t="s">
        <v>797</v>
      </c>
      <c r="E1395" s="84" t="s">
        <v>1399</v>
      </c>
      <c r="F1395" s="84" t="s">
        <v>1402</v>
      </c>
    </row>
    <row r="1396" spans="1:6" hidden="1" x14ac:dyDescent="0.25">
      <c r="A1396" s="85" t="s">
        <v>3105</v>
      </c>
      <c r="B1396" s="85" t="s">
        <v>3105</v>
      </c>
      <c r="C1396" s="84" t="s">
        <v>958</v>
      </c>
      <c r="D1396" s="84" t="s">
        <v>3106</v>
      </c>
      <c r="E1396" s="84" t="s">
        <v>1399</v>
      </c>
      <c r="F1396" s="84" t="s">
        <v>1402</v>
      </c>
    </row>
    <row r="1397" spans="1:6" hidden="1" x14ac:dyDescent="0.25">
      <c r="A1397" s="85" t="s">
        <v>3107</v>
      </c>
      <c r="B1397" s="85" t="s">
        <v>3107</v>
      </c>
      <c r="C1397" s="84" t="s">
        <v>958</v>
      </c>
      <c r="D1397" s="84" t="s">
        <v>3108</v>
      </c>
      <c r="E1397" s="84" t="s">
        <v>1399</v>
      </c>
      <c r="F1397" s="84" t="s">
        <v>1402</v>
      </c>
    </row>
    <row r="1398" spans="1:6" hidden="1" x14ac:dyDescent="0.25">
      <c r="A1398" s="85" t="s">
        <v>3109</v>
      </c>
      <c r="B1398" s="85" t="s">
        <v>3109</v>
      </c>
      <c r="C1398" s="84" t="s">
        <v>958</v>
      </c>
      <c r="D1398" s="84" t="s">
        <v>3110</v>
      </c>
      <c r="E1398" s="84" t="s">
        <v>1399</v>
      </c>
      <c r="F1398" s="84" t="s">
        <v>1402</v>
      </c>
    </row>
    <row r="1399" spans="1:6" hidden="1" x14ac:dyDescent="0.25">
      <c r="A1399" s="85" t="s">
        <v>3111</v>
      </c>
      <c r="B1399" s="85" t="s">
        <v>3111</v>
      </c>
      <c r="C1399" s="84" t="s">
        <v>958</v>
      </c>
      <c r="D1399" s="84" t="s">
        <v>3112</v>
      </c>
      <c r="E1399" s="84" t="s">
        <v>1399</v>
      </c>
      <c r="F1399" s="84" t="s">
        <v>1402</v>
      </c>
    </row>
    <row r="1400" spans="1:6" hidden="1" x14ac:dyDescent="0.25">
      <c r="A1400" s="85" t="s">
        <v>3113</v>
      </c>
      <c r="B1400" s="85" t="s">
        <v>3113</v>
      </c>
      <c r="C1400" s="84" t="s">
        <v>958</v>
      </c>
      <c r="D1400" s="84" t="s">
        <v>3114</v>
      </c>
      <c r="E1400" s="84" t="s">
        <v>1399</v>
      </c>
      <c r="F1400" s="84" t="s">
        <v>1402</v>
      </c>
    </row>
    <row r="1401" spans="1:6" hidden="1" x14ac:dyDescent="0.25">
      <c r="A1401" s="85" t="s">
        <v>3115</v>
      </c>
      <c r="B1401" s="85" t="s">
        <v>3115</v>
      </c>
      <c r="C1401" s="84" t="s">
        <v>958</v>
      </c>
      <c r="D1401" s="84" t="s">
        <v>3116</v>
      </c>
      <c r="E1401" s="84" t="s">
        <v>1399</v>
      </c>
      <c r="F1401" s="84" t="s">
        <v>1402</v>
      </c>
    </row>
    <row r="1402" spans="1:6" hidden="1" x14ac:dyDescent="0.25">
      <c r="A1402" s="85" t="s">
        <v>1714</v>
      </c>
      <c r="B1402" s="85" t="s">
        <v>1714</v>
      </c>
      <c r="C1402" s="84" t="s">
        <v>958</v>
      </c>
      <c r="D1402" s="84" t="s">
        <v>3117</v>
      </c>
      <c r="E1402" s="84" t="s">
        <v>1399</v>
      </c>
      <c r="F1402" s="84" t="s">
        <v>1402</v>
      </c>
    </row>
    <row r="1403" spans="1:6" hidden="1" x14ac:dyDescent="0.25">
      <c r="A1403" s="85" t="s">
        <v>1715</v>
      </c>
      <c r="B1403" s="85" t="s">
        <v>1715</v>
      </c>
      <c r="C1403" s="84" t="s">
        <v>958</v>
      </c>
      <c r="D1403" s="84" t="s">
        <v>3118</v>
      </c>
      <c r="E1403" s="84" t="s">
        <v>1399</v>
      </c>
      <c r="F1403" s="84" t="s">
        <v>1402</v>
      </c>
    </row>
    <row r="1404" spans="1:6" hidden="1" x14ac:dyDescent="0.25">
      <c r="A1404" s="85" t="s">
        <v>1716</v>
      </c>
      <c r="B1404" s="85" t="s">
        <v>1716</v>
      </c>
      <c r="C1404" s="84" t="s">
        <v>958</v>
      </c>
      <c r="D1404" s="84" t="s">
        <v>3119</v>
      </c>
      <c r="E1404" s="84" t="s">
        <v>1399</v>
      </c>
      <c r="F1404" s="84" t="s">
        <v>1402</v>
      </c>
    </row>
    <row r="1405" spans="1:6" hidden="1" x14ac:dyDescent="0.25">
      <c r="A1405" s="85" t="s">
        <v>1713</v>
      </c>
      <c r="B1405" s="85" t="s">
        <v>1713</v>
      </c>
      <c r="C1405" s="84" t="s">
        <v>958</v>
      </c>
      <c r="D1405" s="84" t="s">
        <v>3120</v>
      </c>
      <c r="E1405" s="84" t="s">
        <v>1399</v>
      </c>
      <c r="F1405" s="84" t="s">
        <v>1402</v>
      </c>
    </row>
    <row r="1406" spans="1:6" x14ac:dyDescent="0.25">
      <c r="A1406" s="85" t="s">
        <v>3121</v>
      </c>
      <c r="B1406" s="85" t="s">
        <v>3121</v>
      </c>
      <c r="C1406" s="84" t="s">
        <v>958</v>
      </c>
      <c r="D1406" s="84" t="s">
        <v>3122</v>
      </c>
      <c r="E1406" s="84" t="s">
        <v>1399</v>
      </c>
      <c r="F1406" s="84" t="s">
        <v>1402</v>
      </c>
    </row>
    <row r="1407" spans="1:6" x14ac:dyDescent="0.25">
      <c r="A1407" s="85" t="s">
        <v>3123</v>
      </c>
      <c r="B1407" s="85" t="s">
        <v>3123</v>
      </c>
      <c r="C1407" s="84" t="s">
        <v>958</v>
      </c>
      <c r="D1407" s="84" t="s">
        <v>3124</v>
      </c>
      <c r="E1407" s="84" t="s">
        <v>1399</v>
      </c>
      <c r="F1407" s="84" t="s">
        <v>1402</v>
      </c>
    </row>
    <row r="1408" spans="1:6" x14ac:dyDescent="0.25">
      <c r="A1408" s="85" t="s">
        <v>3125</v>
      </c>
      <c r="B1408" s="85" t="s">
        <v>3125</v>
      </c>
      <c r="C1408" s="84" t="s">
        <v>958</v>
      </c>
      <c r="D1408" s="84" t="s">
        <v>3126</v>
      </c>
      <c r="E1408" s="84" t="s">
        <v>1399</v>
      </c>
      <c r="F1408" s="84" t="s">
        <v>1402</v>
      </c>
    </row>
    <row r="1409" spans="1:6" x14ac:dyDescent="0.25">
      <c r="A1409" s="85" t="s">
        <v>3127</v>
      </c>
      <c r="B1409" s="85" t="s">
        <v>3127</v>
      </c>
      <c r="C1409" s="84" t="s">
        <v>958</v>
      </c>
      <c r="D1409" s="84" t="s">
        <v>3128</v>
      </c>
      <c r="E1409" s="84" t="s">
        <v>1399</v>
      </c>
      <c r="F1409" s="84" t="s">
        <v>1402</v>
      </c>
    </row>
    <row r="1410" spans="1:6" x14ac:dyDescent="0.25">
      <c r="A1410" s="85" t="s">
        <v>3129</v>
      </c>
      <c r="B1410" s="85" t="s">
        <v>3129</v>
      </c>
      <c r="C1410" s="84" t="s">
        <v>958</v>
      </c>
      <c r="D1410" s="84" t="s">
        <v>3130</v>
      </c>
      <c r="E1410" s="84" t="s">
        <v>1399</v>
      </c>
      <c r="F1410" s="84" t="s">
        <v>1402</v>
      </c>
    </row>
    <row r="1411" spans="1:6" x14ac:dyDescent="0.25">
      <c r="A1411" s="85" t="s">
        <v>3131</v>
      </c>
      <c r="B1411" s="85" t="s">
        <v>3131</v>
      </c>
      <c r="C1411" s="84" t="s">
        <v>958</v>
      </c>
      <c r="D1411" s="84" t="s">
        <v>3132</v>
      </c>
      <c r="E1411" s="84" t="s">
        <v>1399</v>
      </c>
      <c r="F1411" s="84" t="s">
        <v>1402</v>
      </c>
    </row>
    <row r="1412" spans="1:6" x14ac:dyDescent="0.25">
      <c r="A1412" s="85" t="s">
        <v>3133</v>
      </c>
      <c r="B1412" s="85" t="s">
        <v>3133</v>
      </c>
      <c r="C1412" s="84" t="s">
        <v>958</v>
      </c>
      <c r="D1412" s="84" t="s">
        <v>3134</v>
      </c>
      <c r="E1412" s="84" t="s">
        <v>1399</v>
      </c>
      <c r="F1412" s="84" t="s">
        <v>1402</v>
      </c>
    </row>
    <row r="1413" spans="1:6" x14ac:dyDescent="0.25">
      <c r="A1413" s="85" t="s">
        <v>3135</v>
      </c>
      <c r="B1413" s="85" t="s">
        <v>3135</v>
      </c>
      <c r="C1413" s="84" t="s">
        <v>958</v>
      </c>
      <c r="D1413" s="84" t="s">
        <v>3136</v>
      </c>
      <c r="E1413" s="84" t="s">
        <v>1399</v>
      </c>
      <c r="F1413" s="84" t="s">
        <v>1402</v>
      </c>
    </row>
    <row r="1414" spans="1:6" x14ac:dyDescent="0.25">
      <c r="A1414" s="85" t="s">
        <v>3137</v>
      </c>
      <c r="B1414" s="85" t="s">
        <v>3137</v>
      </c>
      <c r="C1414" s="84" t="s">
        <v>958</v>
      </c>
      <c r="D1414" s="84" t="s">
        <v>3138</v>
      </c>
      <c r="E1414" s="84" t="s">
        <v>1399</v>
      </c>
      <c r="F1414" s="84" t="s">
        <v>1402</v>
      </c>
    </row>
    <row r="1415" spans="1:6" x14ac:dyDescent="0.25">
      <c r="A1415" s="85" t="s">
        <v>3139</v>
      </c>
      <c r="B1415" s="85" t="s">
        <v>3139</v>
      </c>
      <c r="C1415" s="84" t="s">
        <v>958</v>
      </c>
      <c r="D1415" s="84" t="s">
        <v>3140</v>
      </c>
      <c r="E1415" s="84" t="s">
        <v>1399</v>
      </c>
      <c r="F1415" s="84" t="s">
        <v>1402</v>
      </c>
    </row>
    <row r="1416" spans="1:6" x14ac:dyDescent="0.25">
      <c r="A1416" s="85" t="s">
        <v>3141</v>
      </c>
      <c r="B1416" s="85" t="s">
        <v>3141</v>
      </c>
      <c r="C1416" s="84" t="s">
        <v>958</v>
      </c>
      <c r="D1416" s="84" t="s">
        <v>3142</v>
      </c>
      <c r="E1416" s="84" t="s">
        <v>1399</v>
      </c>
      <c r="F1416" s="84" t="s">
        <v>1402</v>
      </c>
    </row>
    <row r="1417" spans="1:6" x14ac:dyDescent="0.25">
      <c r="A1417" s="85" t="s">
        <v>3143</v>
      </c>
      <c r="B1417" s="85" t="s">
        <v>3143</v>
      </c>
      <c r="C1417" s="84" t="s">
        <v>958</v>
      </c>
      <c r="D1417" s="84" t="s">
        <v>3144</v>
      </c>
      <c r="E1417" s="84" t="s">
        <v>1399</v>
      </c>
      <c r="F1417" s="84" t="s">
        <v>1402</v>
      </c>
    </row>
    <row r="1418" spans="1:6" x14ac:dyDescent="0.25">
      <c r="A1418" s="85" t="s">
        <v>3145</v>
      </c>
      <c r="B1418" s="85" t="s">
        <v>3145</v>
      </c>
      <c r="C1418" s="84" t="s">
        <v>958</v>
      </c>
      <c r="D1418" s="84" t="s">
        <v>3146</v>
      </c>
      <c r="E1418" s="84" t="s">
        <v>1399</v>
      </c>
      <c r="F1418" s="84" t="s">
        <v>1402</v>
      </c>
    </row>
    <row r="1419" spans="1:6" x14ac:dyDescent="0.25">
      <c r="A1419" s="85" t="s">
        <v>3147</v>
      </c>
      <c r="B1419" s="85" t="s">
        <v>3147</v>
      </c>
      <c r="C1419" s="84" t="s">
        <v>958</v>
      </c>
      <c r="D1419" s="84" t="s">
        <v>3148</v>
      </c>
      <c r="E1419" s="84" t="s">
        <v>1399</v>
      </c>
      <c r="F1419" s="84" t="s">
        <v>1402</v>
      </c>
    </row>
    <row r="1420" spans="1:6" x14ac:dyDescent="0.25">
      <c r="A1420" s="85" t="s">
        <v>3149</v>
      </c>
      <c r="B1420" s="85" t="s">
        <v>3149</v>
      </c>
      <c r="C1420" s="84" t="s">
        <v>958</v>
      </c>
      <c r="D1420" s="84" t="s">
        <v>3150</v>
      </c>
      <c r="E1420" s="84" t="s">
        <v>1399</v>
      </c>
      <c r="F1420" s="84" t="s">
        <v>1402</v>
      </c>
    </row>
    <row r="1421" spans="1:6" x14ac:dyDescent="0.25">
      <c r="A1421" s="85" t="s">
        <v>3151</v>
      </c>
      <c r="B1421" s="85" t="s">
        <v>3151</v>
      </c>
      <c r="C1421" s="84" t="s">
        <v>958</v>
      </c>
      <c r="D1421" s="84" t="s">
        <v>3152</v>
      </c>
      <c r="E1421" s="84" t="s">
        <v>1399</v>
      </c>
      <c r="F1421" s="84" t="s">
        <v>1402</v>
      </c>
    </row>
    <row r="1422" spans="1:6" x14ac:dyDescent="0.25">
      <c r="A1422" s="85" t="s">
        <v>3153</v>
      </c>
      <c r="B1422" s="85" t="s">
        <v>3153</v>
      </c>
      <c r="C1422" s="84" t="s">
        <v>958</v>
      </c>
      <c r="D1422" s="84" t="s">
        <v>3154</v>
      </c>
      <c r="E1422" s="84" t="s">
        <v>1399</v>
      </c>
      <c r="F1422" s="84" t="s">
        <v>1402</v>
      </c>
    </row>
    <row r="1423" spans="1:6" x14ac:dyDescent="0.25">
      <c r="A1423" s="85" t="s">
        <v>3155</v>
      </c>
      <c r="B1423" s="85" t="s">
        <v>3155</v>
      </c>
      <c r="C1423" s="84" t="s">
        <v>958</v>
      </c>
      <c r="D1423" s="84" t="s">
        <v>3156</v>
      </c>
      <c r="E1423" s="84" t="s">
        <v>1399</v>
      </c>
      <c r="F1423" s="84" t="s">
        <v>1402</v>
      </c>
    </row>
    <row r="1424" spans="1:6" x14ac:dyDescent="0.25">
      <c r="A1424" s="85" t="s">
        <v>3157</v>
      </c>
      <c r="B1424" s="85" t="s">
        <v>3157</v>
      </c>
      <c r="C1424" s="84" t="s">
        <v>958</v>
      </c>
      <c r="D1424" s="84" t="s">
        <v>3158</v>
      </c>
      <c r="E1424" s="84" t="s">
        <v>1399</v>
      </c>
      <c r="F1424" s="84" t="s">
        <v>1402</v>
      </c>
    </row>
    <row r="1425" spans="1:6" x14ac:dyDescent="0.25">
      <c r="A1425" s="85" t="s">
        <v>3159</v>
      </c>
      <c r="B1425" s="85" t="s">
        <v>3159</v>
      </c>
      <c r="C1425" s="84" t="s">
        <v>958</v>
      </c>
      <c r="D1425" s="84" t="s">
        <v>3160</v>
      </c>
      <c r="E1425" s="84" t="s">
        <v>1399</v>
      </c>
      <c r="F1425" s="84" t="s">
        <v>1402</v>
      </c>
    </row>
    <row r="1426" spans="1:6" x14ac:dyDescent="0.25">
      <c r="A1426" s="85" t="s">
        <v>3161</v>
      </c>
      <c r="B1426" s="85" t="s">
        <v>3161</v>
      </c>
      <c r="C1426" s="84" t="s">
        <v>958</v>
      </c>
      <c r="D1426" s="84" t="s">
        <v>3162</v>
      </c>
      <c r="E1426" s="84" t="s">
        <v>1399</v>
      </c>
      <c r="F1426" s="84" t="s">
        <v>1402</v>
      </c>
    </row>
    <row r="1427" spans="1:6" x14ac:dyDescent="0.25">
      <c r="A1427" s="85" t="s">
        <v>3163</v>
      </c>
      <c r="B1427" s="85" t="s">
        <v>3163</v>
      </c>
      <c r="C1427" s="84" t="s">
        <v>958</v>
      </c>
      <c r="D1427" s="84" t="s">
        <v>3164</v>
      </c>
      <c r="E1427" s="84" t="s">
        <v>1399</v>
      </c>
      <c r="F1427" s="84" t="s">
        <v>1402</v>
      </c>
    </row>
    <row r="1428" spans="1:6" x14ac:dyDescent="0.25">
      <c r="A1428" s="85" t="s">
        <v>3165</v>
      </c>
      <c r="B1428" s="85" t="s">
        <v>3165</v>
      </c>
      <c r="C1428" s="84" t="s">
        <v>958</v>
      </c>
      <c r="D1428" s="84" t="s">
        <v>3166</v>
      </c>
      <c r="E1428" s="84" t="s">
        <v>1399</v>
      </c>
      <c r="F1428" s="84" t="s">
        <v>1402</v>
      </c>
    </row>
    <row r="1429" spans="1:6" x14ac:dyDescent="0.25">
      <c r="A1429" s="85" t="s">
        <v>3167</v>
      </c>
      <c r="B1429" s="85" t="s">
        <v>3167</v>
      </c>
      <c r="C1429" s="84" t="s">
        <v>958</v>
      </c>
      <c r="D1429" s="84" t="s">
        <v>3168</v>
      </c>
      <c r="E1429" s="84" t="s">
        <v>1399</v>
      </c>
      <c r="F1429" s="84" t="s">
        <v>1402</v>
      </c>
    </row>
    <row r="1430" spans="1:6" x14ac:dyDescent="0.25">
      <c r="A1430" s="85" t="s">
        <v>3169</v>
      </c>
      <c r="B1430" s="85" t="s">
        <v>3169</v>
      </c>
      <c r="C1430" s="84" t="s">
        <v>958</v>
      </c>
      <c r="D1430" s="84" t="s">
        <v>3170</v>
      </c>
      <c r="E1430" s="84" t="s">
        <v>1399</v>
      </c>
      <c r="F1430" s="84" t="s">
        <v>1402</v>
      </c>
    </row>
    <row r="1431" spans="1:6" x14ac:dyDescent="0.25">
      <c r="A1431" s="85" t="s">
        <v>3171</v>
      </c>
      <c r="B1431" s="85" t="s">
        <v>3171</v>
      </c>
      <c r="C1431" s="84" t="s">
        <v>958</v>
      </c>
      <c r="D1431" s="84" t="s">
        <v>3172</v>
      </c>
      <c r="E1431" s="84" t="s">
        <v>1399</v>
      </c>
      <c r="F1431" s="84" t="s">
        <v>1402</v>
      </c>
    </row>
    <row r="1432" spans="1:6" x14ac:dyDescent="0.25">
      <c r="A1432" s="85" t="s">
        <v>3173</v>
      </c>
      <c r="B1432" s="85" t="s">
        <v>3173</v>
      </c>
      <c r="C1432" s="84" t="s">
        <v>958</v>
      </c>
      <c r="D1432" s="84" t="s">
        <v>3174</v>
      </c>
      <c r="E1432" s="84" t="s">
        <v>1399</v>
      </c>
      <c r="F1432" s="84" t="s">
        <v>1402</v>
      </c>
    </row>
    <row r="1433" spans="1:6" x14ac:dyDescent="0.25">
      <c r="A1433" s="85" t="s">
        <v>3175</v>
      </c>
      <c r="B1433" s="85" t="s">
        <v>3175</v>
      </c>
      <c r="C1433" s="84" t="s">
        <v>958</v>
      </c>
      <c r="D1433" s="84" t="s">
        <v>3176</v>
      </c>
      <c r="E1433" s="84" t="s">
        <v>1399</v>
      </c>
      <c r="F1433" s="84" t="s">
        <v>1402</v>
      </c>
    </row>
    <row r="1434" spans="1:6" x14ac:dyDescent="0.25">
      <c r="A1434" s="85" t="s">
        <v>3177</v>
      </c>
      <c r="B1434" s="85" t="s">
        <v>3177</v>
      </c>
      <c r="C1434" s="84" t="s">
        <v>958</v>
      </c>
      <c r="D1434" s="84" t="s">
        <v>3178</v>
      </c>
      <c r="E1434" s="84" t="s">
        <v>1399</v>
      </c>
      <c r="F1434" s="84" t="s">
        <v>1402</v>
      </c>
    </row>
    <row r="1435" spans="1:6" x14ac:dyDescent="0.25">
      <c r="A1435" s="85" t="s">
        <v>3179</v>
      </c>
      <c r="B1435" s="85" t="s">
        <v>3179</v>
      </c>
      <c r="C1435" s="84" t="s">
        <v>958</v>
      </c>
      <c r="D1435" s="84" t="s">
        <v>3180</v>
      </c>
      <c r="E1435" s="84" t="s">
        <v>1399</v>
      </c>
      <c r="F1435" s="84" t="s">
        <v>1402</v>
      </c>
    </row>
    <row r="1436" spans="1:6" x14ac:dyDescent="0.25">
      <c r="A1436" s="85" t="s">
        <v>3181</v>
      </c>
      <c r="B1436" s="85" t="s">
        <v>3181</v>
      </c>
      <c r="C1436" s="84" t="s">
        <v>958</v>
      </c>
      <c r="D1436" s="84" t="s">
        <v>3182</v>
      </c>
      <c r="E1436" s="84" t="s">
        <v>1399</v>
      </c>
      <c r="F1436" s="84" t="s">
        <v>1402</v>
      </c>
    </row>
    <row r="1437" spans="1:6" hidden="1" x14ac:dyDescent="0.25">
      <c r="A1437" s="85">
        <v>92786</v>
      </c>
      <c r="B1437" s="85">
        <v>92786</v>
      </c>
      <c r="C1437" s="84" t="s">
        <v>2888</v>
      </c>
      <c r="D1437" s="84" t="s">
        <v>3183</v>
      </c>
      <c r="E1437" s="84" t="s">
        <v>1399</v>
      </c>
      <c r="F1437" s="84" t="s">
        <v>998</v>
      </c>
    </row>
    <row r="1438" spans="1:6" hidden="1" x14ac:dyDescent="0.25">
      <c r="A1438" s="85" t="s">
        <v>3184</v>
      </c>
      <c r="B1438" s="85" t="s">
        <v>3184</v>
      </c>
      <c r="C1438" s="84" t="s">
        <v>922</v>
      </c>
      <c r="D1438" s="84" t="s">
        <v>3185</v>
      </c>
      <c r="E1438" s="84" t="s">
        <v>1399</v>
      </c>
      <c r="F1438" s="84" t="s">
        <v>1409</v>
      </c>
    </row>
    <row r="1439" spans="1:6" hidden="1" x14ac:dyDescent="0.25">
      <c r="A1439" s="85" t="s">
        <v>152</v>
      </c>
      <c r="B1439" s="85" t="s">
        <v>3186</v>
      </c>
      <c r="C1439" s="84" t="s">
        <v>922</v>
      </c>
      <c r="D1439" s="84" t="s">
        <v>1408</v>
      </c>
      <c r="E1439" s="84" t="s">
        <v>1399</v>
      </c>
      <c r="F1439" s="84" t="s">
        <v>1409</v>
      </c>
    </row>
    <row r="1440" spans="1:6" hidden="1" x14ac:dyDescent="0.25">
      <c r="A1440" s="85" t="s">
        <v>556</v>
      </c>
      <c r="B1440" s="85" t="s">
        <v>3187</v>
      </c>
      <c r="C1440" s="84" t="s">
        <v>922</v>
      </c>
      <c r="D1440" s="84" t="s">
        <v>1410</v>
      </c>
      <c r="E1440" s="84" t="s">
        <v>1399</v>
      </c>
      <c r="F1440" s="84" t="s">
        <v>1409</v>
      </c>
    </row>
    <row r="1441" spans="1:6" hidden="1" x14ac:dyDescent="0.25">
      <c r="A1441" s="85" t="s">
        <v>3188</v>
      </c>
      <c r="B1441" s="85" t="s">
        <v>3188</v>
      </c>
      <c r="C1441" s="84" t="s">
        <v>922</v>
      </c>
      <c r="D1441" s="84" t="s">
        <v>1408</v>
      </c>
      <c r="E1441" s="84" t="s">
        <v>1399</v>
      </c>
      <c r="F1441" s="84" t="s">
        <v>1409</v>
      </c>
    </row>
    <row r="1442" spans="1:6" hidden="1" x14ac:dyDescent="0.25">
      <c r="A1442" s="85" t="s">
        <v>3189</v>
      </c>
      <c r="B1442" s="85" t="s">
        <v>3189</v>
      </c>
      <c r="C1442" s="84" t="s">
        <v>922</v>
      </c>
      <c r="D1442" s="84" t="s">
        <v>1410</v>
      </c>
      <c r="E1442" s="84" t="s">
        <v>1399</v>
      </c>
      <c r="F1442" s="84" t="s">
        <v>1409</v>
      </c>
    </row>
    <row r="1443" spans="1:6" hidden="1" x14ac:dyDescent="0.25">
      <c r="A1443" s="85">
        <v>92190</v>
      </c>
      <c r="B1443" s="85">
        <v>92190</v>
      </c>
      <c r="C1443" s="84" t="s">
        <v>2888</v>
      </c>
      <c r="D1443" s="84" t="s">
        <v>3190</v>
      </c>
      <c r="E1443" s="84" t="s">
        <v>1399</v>
      </c>
      <c r="F1443" s="84" t="s">
        <v>1409</v>
      </c>
    </row>
    <row r="1444" spans="1:6" hidden="1" x14ac:dyDescent="0.25">
      <c r="A1444" s="85">
        <v>92191</v>
      </c>
      <c r="B1444" s="85">
        <v>92191</v>
      </c>
      <c r="C1444" s="84" t="s">
        <v>2888</v>
      </c>
      <c r="D1444" s="84" t="s">
        <v>3191</v>
      </c>
      <c r="E1444" s="84" t="s">
        <v>1399</v>
      </c>
      <c r="F1444" s="84" t="s">
        <v>1409</v>
      </c>
    </row>
    <row r="1445" spans="1:6" hidden="1" x14ac:dyDescent="0.25">
      <c r="A1445" s="85" t="s">
        <v>99</v>
      </c>
      <c r="B1445" s="85" t="s">
        <v>99</v>
      </c>
      <c r="C1445" s="84" t="s">
        <v>958</v>
      </c>
      <c r="D1445" s="84" t="s">
        <v>717</v>
      </c>
      <c r="E1445" s="84" t="s">
        <v>1399</v>
      </c>
      <c r="F1445" s="84" t="s">
        <v>1409</v>
      </c>
    </row>
    <row r="1446" spans="1:6" hidden="1" x14ac:dyDescent="0.25">
      <c r="A1446" s="85" t="s">
        <v>3192</v>
      </c>
      <c r="B1446" s="85" t="s">
        <v>3192</v>
      </c>
      <c r="C1446" s="84" t="s">
        <v>958</v>
      </c>
      <c r="D1446" s="84" t="s">
        <v>3193</v>
      </c>
      <c r="E1446" s="84" t="s">
        <v>1399</v>
      </c>
      <c r="F1446" s="84" t="s">
        <v>1409</v>
      </c>
    </row>
    <row r="1447" spans="1:6" hidden="1" x14ac:dyDescent="0.25">
      <c r="A1447" s="85" t="s">
        <v>1411</v>
      </c>
      <c r="B1447" s="85" t="s">
        <v>1411</v>
      </c>
      <c r="C1447" s="84" t="s">
        <v>958</v>
      </c>
      <c r="D1447" s="84" t="s">
        <v>1412</v>
      </c>
      <c r="E1447" s="84" t="s">
        <v>1399</v>
      </c>
      <c r="F1447" s="84" t="s">
        <v>1409</v>
      </c>
    </row>
    <row r="1448" spans="1:6" hidden="1" x14ac:dyDescent="0.25">
      <c r="A1448" s="85" t="s">
        <v>3194</v>
      </c>
      <c r="B1448" s="85" t="s">
        <v>3194</v>
      </c>
      <c r="C1448" s="84" t="s">
        <v>958</v>
      </c>
      <c r="D1448" s="84" t="s">
        <v>3195</v>
      </c>
      <c r="E1448" s="84" t="s">
        <v>1399</v>
      </c>
      <c r="F1448" s="84" t="s">
        <v>1409</v>
      </c>
    </row>
    <row r="1449" spans="1:6" hidden="1" x14ac:dyDescent="0.25">
      <c r="A1449" s="85" t="s">
        <v>1413</v>
      </c>
      <c r="B1449" s="85" t="s">
        <v>3196</v>
      </c>
      <c r="C1449" s="84" t="s">
        <v>922</v>
      </c>
      <c r="D1449" s="84" t="s">
        <v>1414</v>
      </c>
      <c r="E1449" s="84" t="s">
        <v>1399</v>
      </c>
      <c r="F1449" s="84" t="s">
        <v>1415</v>
      </c>
    </row>
    <row r="1450" spans="1:6" hidden="1" x14ac:dyDescent="0.25">
      <c r="A1450" s="85" t="s">
        <v>3197</v>
      </c>
      <c r="B1450" s="85" t="s">
        <v>3198</v>
      </c>
      <c r="C1450" s="84" t="s">
        <v>922</v>
      </c>
      <c r="D1450" s="84" t="s">
        <v>3199</v>
      </c>
      <c r="E1450" s="84" t="s">
        <v>1399</v>
      </c>
      <c r="F1450" s="84" t="s">
        <v>1415</v>
      </c>
    </row>
    <row r="1451" spans="1:6" hidden="1" x14ac:dyDescent="0.25">
      <c r="A1451" s="85" t="s">
        <v>96</v>
      </c>
      <c r="B1451" s="85" t="s">
        <v>96</v>
      </c>
      <c r="C1451" s="84" t="s">
        <v>958</v>
      </c>
      <c r="D1451" s="84" t="s">
        <v>716</v>
      </c>
      <c r="E1451" s="84" t="s">
        <v>1399</v>
      </c>
      <c r="F1451" s="84" t="s">
        <v>1415</v>
      </c>
    </row>
    <row r="1452" spans="1:6" hidden="1" x14ac:dyDescent="0.25">
      <c r="A1452" s="85" t="s">
        <v>3200</v>
      </c>
      <c r="B1452" s="85" t="s">
        <v>3200</v>
      </c>
      <c r="C1452" s="84" t="s">
        <v>958</v>
      </c>
      <c r="D1452" s="84" t="s">
        <v>3201</v>
      </c>
      <c r="E1452" s="84" t="s">
        <v>1399</v>
      </c>
      <c r="F1452" s="84" t="s">
        <v>1415</v>
      </c>
    </row>
    <row r="1453" spans="1:6" hidden="1" x14ac:dyDescent="0.25">
      <c r="A1453" s="85" t="s">
        <v>97</v>
      </c>
      <c r="B1453" s="85" t="s">
        <v>97</v>
      </c>
      <c r="C1453" s="84" t="s">
        <v>958</v>
      </c>
      <c r="D1453" s="84" t="s">
        <v>1416</v>
      </c>
      <c r="E1453" s="84" t="s">
        <v>1399</v>
      </c>
      <c r="F1453" s="84" t="s">
        <v>1415</v>
      </c>
    </row>
    <row r="1454" spans="1:6" hidden="1" x14ac:dyDescent="0.25">
      <c r="A1454" s="85" t="s">
        <v>3202</v>
      </c>
      <c r="B1454" s="85" t="s">
        <v>3203</v>
      </c>
      <c r="C1454" s="84" t="s">
        <v>922</v>
      </c>
      <c r="D1454" s="84" t="s">
        <v>3204</v>
      </c>
      <c r="E1454" s="84" t="s">
        <v>1399</v>
      </c>
      <c r="F1454" s="84" t="s">
        <v>1417</v>
      </c>
    </row>
    <row r="1455" spans="1:6" hidden="1" x14ac:dyDescent="0.25">
      <c r="A1455" s="85">
        <v>92756</v>
      </c>
      <c r="B1455" s="85">
        <v>92756</v>
      </c>
      <c r="C1455" s="84" t="s">
        <v>2888</v>
      </c>
      <c r="D1455" s="84" t="s">
        <v>3205</v>
      </c>
      <c r="E1455" s="84" t="s">
        <v>1399</v>
      </c>
      <c r="F1455" s="84" t="s">
        <v>1417</v>
      </c>
    </row>
    <row r="1456" spans="1:6" hidden="1" x14ac:dyDescent="0.25">
      <c r="A1456" s="85" t="s">
        <v>56</v>
      </c>
      <c r="B1456" s="85" t="s">
        <v>56</v>
      </c>
      <c r="C1456" s="84" t="s">
        <v>958</v>
      </c>
      <c r="D1456" s="84" t="s">
        <v>674</v>
      </c>
      <c r="E1456" s="84" t="s">
        <v>1399</v>
      </c>
      <c r="F1456" s="84" t="s">
        <v>1417</v>
      </c>
    </row>
    <row r="1457" spans="1:6" hidden="1" x14ac:dyDescent="0.25">
      <c r="A1457" s="85">
        <v>92410</v>
      </c>
      <c r="B1457" s="85">
        <v>92410</v>
      </c>
      <c r="C1457" s="84" t="s">
        <v>357</v>
      </c>
      <c r="D1457" s="84" t="s">
        <v>3206</v>
      </c>
      <c r="E1457" s="84" t="s">
        <v>1399</v>
      </c>
      <c r="F1457" s="84" t="s">
        <v>1419</v>
      </c>
    </row>
    <row r="1458" spans="1:6" hidden="1" x14ac:dyDescent="0.25">
      <c r="A1458" s="85">
        <v>92411</v>
      </c>
      <c r="B1458" s="85">
        <v>92411</v>
      </c>
      <c r="C1458" s="84" t="s">
        <v>357</v>
      </c>
      <c r="D1458" s="84" t="s">
        <v>3207</v>
      </c>
      <c r="E1458" s="84" t="s">
        <v>1399</v>
      </c>
      <c r="F1458" s="84" t="s">
        <v>1419</v>
      </c>
    </row>
    <row r="1459" spans="1:6" hidden="1" x14ac:dyDescent="0.25">
      <c r="A1459" s="85">
        <v>92412</v>
      </c>
      <c r="B1459" s="85">
        <v>92412</v>
      </c>
      <c r="C1459" s="84" t="s">
        <v>357</v>
      </c>
      <c r="D1459" s="84" t="s">
        <v>3208</v>
      </c>
      <c r="E1459" s="84" t="s">
        <v>1399</v>
      </c>
      <c r="F1459" s="84" t="s">
        <v>1419</v>
      </c>
    </row>
    <row r="1460" spans="1:6" hidden="1" x14ac:dyDescent="0.25">
      <c r="A1460" s="85">
        <v>92420</v>
      </c>
      <c r="B1460" s="85">
        <v>92420</v>
      </c>
      <c r="C1460" s="84" t="s">
        <v>357</v>
      </c>
      <c r="D1460" s="84" t="s">
        <v>3209</v>
      </c>
      <c r="E1460" s="84" t="s">
        <v>1399</v>
      </c>
      <c r="F1460" s="84" t="s">
        <v>1419</v>
      </c>
    </row>
    <row r="1461" spans="1:6" hidden="1" x14ac:dyDescent="0.25">
      <c r="A1461" s="85" t="s">
        <v>3210</v>
      </c>
      <c r="B1461" s="85">
        <v>95001</v>
      </c>
      <c r="C1461" s="84" t="s">
        <v>2895</v>
      </c>
      <c r="D1461" s="84" t="s">
        <v>3211</v>
      </c>
      <c r="E1461" s="84" t="s">
        <v>1399</v>
      </c>
      <c r="F1461" s="84" t="s">
        <v>1419</v>
      </c>
    </row>
    <row r="1462" spans="1:6" hidden="1" x14ac:dyDescent="0.25">
      <c r="A1462" s="85" t="s">
        <v>3212</v>
      </c>
      <c r="B1462" s="85">
        <v>95002</v>
      </c>
      <c r="C1462" s="84" t="s">
        <v>2895</v>
      </c>
      <c r="D1462" s="84" t="s">
        <v>3213</v>
      </c>
      <c r="E1462" s="84" t="s">
        <v>1399</v>
      </c>
      <c r="F1462" s="84" t="s">
        <v>1419</v>
      </c>
    </row>
    <row r="1463" spans="1:6" hidden="1" x14ac:dyDescent="0.25">
      <c r="A1463" s="85" t="s">
        <v>3214</v>
      </c>
      <c r="B1463" s="85">
        <v>95003</v>
      </c>
      <c r="C1463" s="84" t="s">
        <v>2895</v>
      </c>
      <c r="D1463" s="84" t="s">
        <v>3215</v>
      </c>
      <c r="E1463" s="84" t="s">
        <v>1399</v>
      </c>
      <c r="F1463" s="84" t="s">
        <v>1419</v>
      </c>
    </row>
    <row r="1464" spans="1:6" hidden="1" x14ac:dyDescent="0.25">
      <c r="A1464" s="85" t="s">
        <v>3216</v>
      </c>
      <c r="B1464" s="85">
        <v>95004</v>
      </c>
      <c r="C1464" s="84" t="s">
        <v>2895</v>
      </c>
      <c r="D1464" s="84" t="s">
        <v>3217</v>
      </c>
      <c r="E1464" s="84" t="s">
        <v>1399</v>
      </c>
      <c r="F1464" s="84" t="s">
        <v>1419</v>
      </c>
    </row>
    <row r="1465" spans="1:6" hidden="1" x14ac:dyDescent="0.25">
      <c r="A1465" s="85" t="s">
        <v>3218</v>
      </c>
      <c r="B1465" s="85">
        <v>95005</v>
      </c>
      <c r="C1465" s="84" t="s">
        <v>2895</v>
      </c>
      <c r="D1465" s="84" t="s">
        <v>3219</v>
      </c>
      <c r="E1465" s="84" t="s">
        <v>1399</v>
      </c>
      <c r="F1465" s="84" t="s">
        <v>1419</v>
      </c>
    </row>
    <row r="1466" spans="1:6" hidden="1" x14ac:dyDescent="0.25">
      <c r="A1466" s="85" t="s">
        <v>3220</v>
      </c>
      <c r="B1466" s="85">
        <v>95006</v>
      </c>
      <c r="C1466" s="84" t="s">
        <v>2895</v>
      </c>
      <c r="D1466" s="84" t="s">
        <v>3221</v>
      </c>
      <c r="E1466" s="84" t="s">
        <v>1399</v>
      </c>
      <c r="F1466" s="84" t="s">
        <v>1419</v>
      </c>
    </row>
    <row r="1467" spans="1:6" hidden="1" x14ac:dyDescent="0.25">
      <c r="A1467" s="85" t="s">
        <v>3222</v>
      </c>
      <c r="B1467" s="85">
        <v>95007</v>
      </c>
      <c r="C1467" s="84" t="s">
        <v>2895</v>
      </c>
      <c r="D1467" s="84" t="s">
        <v>3223</v>
      </c>
      <c r="E1467" s="84" t="s">
        <v>1399</v>
      </c>
      <c r="F1467" s="84" t="s">
        <v>1419</v>
      </c>
    </row>
    <row r="1468" spans="1:6" hidden="1" x14ac:dyDescent="0.25">
      <c r="A1468" s="85" t="s">
        <v>3224</v>
      </c>
      <c r="B1468" s="85">
        <v>95008</v>
      </c>
      <c r="C1468" s="84" t="s">
        <v>2895</v>
      </c>
      <c r="D1468" s="84" t="s">
        <v>3225</v>
      </c>
      <c r="E1468" s="84" t="s">
        <v>1399</v>
      </c>
      <c r="F1468" s="84" t="s">
        <v>1419</v>
      </c>
    </row>
    <row r="1469" spans="1:6" hidden="1" x14ac:dyDescent="0.25">
      <c r="A1469" s="85" t="s">
        <v>3226</v>
      </c>
      <c r="B1469" s="85">
        <v>95011</v>
      </c>
      <c r="C1469" s="84" t="s">
        <v>2895</v>
      </c>
      <c r="D1469" s="84" t="s">
        <v>3227</v>
      </c>
      <c r="E1469" s="84" t="s">
        <v>1399</v>
      </c>
      <c r="F1469" s="84" t="s">
        <v>1419</v>
      </c>
    </row>
    <row r="1470" spans="1:6" hidden="1" x14ac:dyDescent="0.25">
      <c r="A1470" s="85" t="s">
        <v>3228</v>
      </c>
      <c r="B1470" s="85">
        <v>95012</v>
      </c>
      <c r="C1470" s="84" t="s">
        <v>2895</v>
      </c>
      <c r="D1470" s="84" t="s">
        <v>3229</v>
      </c>
      <c r="E1470" s="84" t="s">
        <v>1399</v>
      </c>
      <c r="F1470" s="84" t="s">
        <v>1419</v>
      </c>
    </row>
    <row r="1471" spans="1:6" hidden="1" x14ac:dyDescent="0.25">
      <c r="A1471" s="85" t="s">
        <v>3230</v>
      </c>
      <c r="B1471" s="85">
        <v>95013</v>
      </c>
      <c r="C1471" s="84" t="s">
        <v>2895</v>
      </c>
      <c r="D1471" s="84" t="s">
        <v>3231</v>
      </c>
      <c r="E1471" s="84" t="s">
        <v>1399</v>
      </c>
      <c r="F1471" s="84" t="s">
        <v>1419</v>
      </c>
    </row>
    <row r="1472" spans="1:6" hidden="1" x14ac:dyDescent="0.25">
      <c r="A1472" s="85" t="s">
        <v>3232</v>
      </c>
      <c r="B1472" s="85">
        <v>95014</v>
      </c>
      <c r="C1472" s="84" t="s">
        <v>2895</v>
      </c>
      <c r="D1472" s="84" t="s">
        <v>3233</v>
      </c>
      <c r="E1472" s="84" t="s">
        <v>1399</v>
      </c>
      <c r="F1472" s="84" t="s">
        <v>1419</v>
      </c>
    </row>
    <row r="1473" spans="1:6" hidden="1" x14ac:dyDescent="0.25">
      <c r="A1473" s="85" t="s">
        <v>3234</v>
      </c>
      <c r="B1473" s="85">
        <v>95015</v>
      </c>
      <c r="C1473" s="84" t="s">
        <v>2895</v>
      </c>
      <c r="D1473" s="84" t="s">
        <v>3235</v>
      </c>
      <c r="E1473" s="84" t="s">
        <v>1399</v>
      </c>
      <c r="F1473" s="84" t="s">
        <v>1419</v>
      </c>
    </row>
    <row r="1474" spans="1:6" hidden="1" x14ac:dyDescent="0.25">
      <c r="A1474" s="85" t="s">
        <v>3236</v>
      </c>
      <c r="B1474" s="85">
        <v>95016</v>
      </c>
      <c r="C1474" s="84" t="s">
        <v>2895</v>
      </c>
      <c r="D1474" s="84" t="s">
        <v>3237</v>
      </c>
      <c r="E1474" s="84" t="s">
        <v>1399</v>
      </c>
      <c r="F1474" s="84" t="s">
        <v>1419</v>
      </c>
    </row>
    <row r="1475" spans="1:6" hidden="1" x14ac:dyDescent="0.25">
      <c r="A1475" s="85" t="s">
        <v>3238</v>
      </c>
      <c r="B1475" s="85">
        <v>95017</v>
      </c>
      <c r="C1475" s="84" t="s">
        <v>2895</v>
      </c>
      <c r="D1475" s="84" t="s">
        <v>3239</v>
      </c>
      <c r="E1475" s="84" t="s">
        <v>1399</v>
      </c>
      <c r="F1475" s="84" t="s">
        <v>1419</v>
      </c>
    </row>
    <row r="1476" spans="1:6" hidden="1" x14ac:dyDescent="0.25">
      <c r="A1476" s="85" t="s">
        <v>3240</v>
      </c>
      <c r="B1476" s="85">
        <v>95018</v>
      </c>
      <c r="C1476" s="84" t="s">
        <v>2895</v>
      </c>
      <c r="D1476" s="84" t="s">
        <v>3241</v>
      </c>
      <c r="E1476" s="84" t="s">
        <v>1399</v>
      </c>
      <c r="F1476" s="84" t="s">
        <v>1419</v>
      </c>
    </row>
    <row r="1477" spans="1:6" hidden="1" x14ac:dyDescent="0.25">
      <c r="A1477" s="85">
        <v>82042</v>
      </c>
      <c r="B1477" s="85">
        <v>82042</v>
      </c>
      <c r="C1477" s="84" t="s">
        <v>922</v>
      </c>
      <c r="D1477" s="84" t="s">
        <v>3242</v>
      </c>
      <c r="E1477" s="84" t="s">
        <v>1399</v>
      </c>
      <c r="F1477" s="84" t="s">
        <v>1419</v>
      </c>
    </row>
    <row r="1478" spans="1:6" hidden="1" x14ac:dyDescent="0.25">
      <c r="A1478" s="85">
        <v>82292</v>
      </c>
      <c r="B1478" s="85">
        <v>82292</v>
      </c>
      <c r="C1478" s="84" t="s">
        <v>922</v>
      </c>
      <c r="D1478" s="84" t="s">
        <v>3243</v>
      </c>
      <c r="E1478" s="84" t="s">
        <v>1399</v>
      </c>
      <c r="F1478" s="84" t="s">
        <v>1419</v>
      </c>
    </row>
    <row r="1479" spans="1:6" hidden="1" x14ac:dyDescent="0.25">
      <c r="A1479" s="85">
        <v>82302</v>
      </c>
      <c r="B1479" s="85">
        <v>82302</v>
      </c>
      <c r="C1479" s="84" t="s">
        <v>922</v>
      </c>
      <c r="D1479" s="84" t="s">
        <v>3244</v>
      </c>
      <c r="E1479" s="84" t="s">
        <v>1399</v>
      </c>
      <c r="F1479" s="84" t="s">
        <v>1419</v>
      </c>
    </row>
    <row r="1480" spans="1:6" hidden="1" x14ac:dyDescent="0.25">
      <c r="A1480" s="85">
        <v>82312</v>
      </c>
      <c r="B1480" s="85">
        <v>82312</v>
      </c>
      <c r="C1480" s="84" t="s">
        <v>922</v>
      </c>
      <c r="D1480" s="84" t="s">
        <v>3245</v>
      </c>
      <c r="E1480" s="84" t="s">
        <v>1399</v>
      </c>
      <c r="F1480" s="84" t="s">
        <v>1419</v>
      </c>
    </row>
    <row r="1481" spans="1:6" hidden="1" x14ac:dyDescent="0.25">
      <c r="A1481" s="85">
        <v>82322</v>
      </c>
      <c r="B1481" s="85">
        <v>82322</v>
      </c>
      <c r="C1481" s="84" t="s">
        <v>922</v>
      </c>
      <c r="D1481" s="84" t="s">
        <v>3246</v>
      </c>
      <c r="E1481" s="84" t="s">
        <v>1399</v>
      </c>
      <c r="F1481" s="84" t="s">
        <v>1419</v>
      </c>
    </row>
    <row r="1482" spans="1:6" hidden="1" x14ac:dyDescent="0.25">
      <c r="A1482" s="85">
        <v>82412</v>
      </c>
      <c r="B1482" s="85">
        <v>82412</v>
      </c>
      <c r="C1482" s="84" t="s">
        <v>922</v>
      </c>
      <c r="D1482" s="84" t="s">
        <v>3247</v>
      </c>
      <c r="E1482" s="84" t="s">
        <v>1399</v>
      </c>
      <c r="F1482" s="84" t="s">
        <v>1419</v>
      </c>
    </row>
    <row r="1483" spans="1:6" hidden="1" x14ac:dyDescent="0.25">
      <c r="A1483" s="85">
        <v>82752</v>
      </c>
      <c r="B1483" s="85">
        <v>82752</v>
      </c>
      <c r="C1483" s="84" t="s">
        <v>922</v>
      </c>
      <c r="D1483" s="84" t="s">
        <v>3248</v>
      </c>
      <c r="E1483" s="84" t="s">
        <v>1399</v>
      </c>
      <c r="F1483" s="84" t="s">
        <v>1419</v>
      </c>
    </row>
    <row r="1484" spans="1:6" hidden="1" x14ac:dyDescent="0.25">
      <c r="A1484" s="85">
        <v>92750</v>
      </c>
      <c r="B1484" s="85">
        <v>92750</v>
      </c>
      <c r="C1484" s="84" t="s">
        <v>922</v>
      </c>
      <c r="D1484" s="84" t="s">
        <v>3249</v>
      </c>
      <c r="E1484" s="84" t="s">
        <v>1399</v>
      </c>
      <c r="F1484" s="84" t="s">
        <v>1419</v>
      </c>
    </row>
    <row r="1485" spans="1:6" hidden="1" x14ac:dyDescent="0.25">
      <c r="A1485" s="85">
        <v>92752</v>
      </c>
      <c r="B1485" s="85">
        <v>92752</v>
      </c>
      <c r="C1485" s="84" t="s">
        <v>922</v>
      </c>
      <c r="D1485" s="84" t="s">
        <v>3250</v>
      </c>
      <c r="E1485" s="84" t="s">
        <v>1399</v>
      </c>
      <c r="F1485" s="84" t="s">
        <v>1419</v>
      </c>
    </row>
    <row r="1486" spans="1:6" hidden="1" x14ac:dyDescent="0.25">
      <c r="A1486" s="85" t="s">
        <v>3251</v>
      </c>
      <c r="B1486" s="85" t="s">
        <v>3251</v>
      </c>
      <c r="C1486" s="84" t="s">
        <v>922</v>
      </c>
      <c r="D1486" s="84" t="s">
        <v>3252</v>
      </c>
      <c r="E1486" s="84" t="s">
        <v>1399</v>
      </c>
      <c r="F1486" s="84" t="s">
        <v>1419</v>
      </c>
    </row>
    <row r="1487" spans="1:6" hidden="1" x14ac:dyDescent="0.25">
      <c r="A1487" s="85" t="s">
        <v>121</v>
      </c>
      <c r="B1487" s="85" t="s">
        <v>3253</v>
      </c>
      <c r="C1487" s="84" t="s">
        <v>922</v>
      </c>
      <c r="D1487" s="84" t="s">
        <v>1418</v>
      </c>
      <c r="E1487" s="84" t="s">
        <v>1399</v>
      </c>
      <c r="F1487" s="84" t="s">
        <v>1419</v>
      </c>
    </row>
    <row r="1488" spans="1:6" hidden="1" x14ac:dyDescent="0.25">
      <c r="A1488" s="85" t="s">
        <v>122</v>
      </c>
      <c r="B1488" s="85" t="s">
        <v>3254</v>
      </c>
      <c r="C1488" s="84" t="s">
        <v>922</v>
      </c>
      <c r="D1488" s="84" t="s">
        <v>1420</v>
      </c>
      <c r="E1488" s="84" t="s">
        <v>1399</v>
      </c>
      <c r="F1488" s="84" t="s">
        <v>1419</v>
      </c>
    </row>
    <row r="1489" spans="1:6" hidden="1" x14ac:dyDescent="0.25">
      <c r="A1489" s="85" t="s">
        <v>123</v>
      </c>
      <c r="B1489" s="85" t="s">
        <v>3255</v>
      </c>
      <c r="C1489" s="84" t="s">
        <v>922</v>
      </c>
      <c r="D1489" s="84" t="s">
        <v>1448</v>
      </c>
      <c r="E1489" s="84" t="s">
        <v>1399</v>
      </c>
      <c r="F1489" s="84" t="s">
        <v>1419</v>
      </c>
    </row>
    <row r="1490" spans="1:6" hidden="1" x14ac:dyDescent="0.25">
      <c r="A1490" s="85" t="s">
        <v>124</v>
      </c>
      <c r="B1490" s="85" t="s">
        <v>3256</v>
      </c>
      <c r="C1490" s="84" t="s">
        <v>922</v>
      </c>
      <c r="D1490" s="84" t="s">
        <v>1450</v>
      </c>
      <c r="E1490" s="84" t="s">
        <v>1399</v>
      </c>
      <c r="F1490" s="84" t="s">
        <v>1419</v>
      </c>
    </row>
    <row r="1491" spans="1:6" hidden="1" x14ac:dyDescent="0.25">
      <c r="A1491" s="85" t="s">
        <v>125</v>
      </c>
      <c r="B1491" s="85" t="s">
        <v>3257</v>
      </c>
      <c r="C1491" s="84" t="s">
        <v>922</v>
      </c>
      <c r="D1491" s="84" t="s">
        <v>1421</v>
      </c>
      <c r="E1491" s="84" t="s">
        <v>1399</v>
      </c>
      <c r="F1491" s="84" t="s">
        <v>1419</v>
      </c>
    </row>
    <row r="1492" spans="1:6" hidden="1" x14ac:dyDescent="0.25">
      <c r="A1492" s="85" t="s">
        <v>126</v>
      </c>
      <c r="B1492" s="85" t="s">
        <v>3258</v>
      </c>
      <c r="C1492" s="84" t="s">
        <v>922</v>
      </c>
      <c r="D1492" s="84" t="s">
        <v>1422</v>
      </c>
      <c r="E1492" s="84" t="s">
        <v>1399</v>
      </c>
      <c r="F1492" s="84" t="s">
        <v>1419</v>
      </c>
    </row>
    <row r="1493" spans="1:6" hidden="1" x14ac:dyDescent="0.25">
      <c r="A1493" s="85" t="s">
        <v>127</v>
      </c>
      <c r="B1493" s="85" t="s">
        <v>3259</v>
      </c>
      <c r="C1493" s="84" t="s">
        <v>922</v>
      </c>
      <c r="D1493" s="84" t="s">
        <v>1423</v>
      </c>
      <c r="E1493" s="84" t="s">
        <v>1399</v>
      </c>
      <c r="F1493" s="84" t="s">
        <v>1419</v>
      </c>
    </row>
    <row r="1494" spans="1:6" hidden="1" x14ac:dyDescent="0.25">
      <c r="A1494" s="85" t="s">
        <v>128</v>
      </c>
      <c r="B1494" s="85" t="s">
        <v>3260</v>
      </c>
      <c r="C1494" s="84" t="s">
        <v>922</v>
      </c>
      <c r="D1494" s="84" t="s">
        <v>1424</v>
      </c>
      <c r="E1494" s="84" t="s">
        <v>1399</v>
      </c>
      <c r="F1494" s="84" t="s">
        <v>1419</v>
      </c>
    </row>
    <row r="1495" spans="1:6" hidden="1" x14ac:dyDescent="0.25">
      <c r="A1495" s="85" t="s">
        <v>129</v>
      </c>
      <c r="B1495" s="85" t="s">
        <v>3261</v>
      </c>
      <c r="C1495" s="84" t="s">
        <v>922</v>
      </c>
      <c r="D1495" s="84" t="s">
        <v>1425</v>
      </c>
      <c r="E1495" s="84" t="s">
        <v>1399</v>
      </c>
      <c r="F1495" s="84" t="s">
        <v>1419</v>
      </c>
    </row>
    <row r="1496" spans="1:6" hidden="1" x14ac:dyDescent="0.25">
      <c r="A1496" s="85" t="s">
        <v>130</v>
      </c>
      <c r="B1496" s="85" t="s">
        <v>3262</v>
      </c>
      <c r="C1496" s="84" t="s">
        <v>922</v>
      </c>
      <c r="D1496" s="84" t="s">
        <v>1426</v>
      </c>
      <c r="E1496" s="84" t="s">
        <v>1399</v>
      </c>
      <c r="F1496" s="84" t="s">
        <v>1419</v>
      </c>
    </row>
    <row r="1497" spans="1:6" hidden="1" x14ac:dyDescent="0.25">
      <c r="A1497" s="85" t="s">
        <v>131</v>
      </c>
      <c r="B1497" s="85" t="s">
        <v>3263</v>
      </c>
      <c r="C1497" s="84" t="s">
        <v>922</v>
      </c>
      <c r="D1497" s="84" t="s">
        <v>1427</v>
      </c>
      <c r="E1497" s="84" t="s">
        <v>1399</v>
      </c>
      <c r="F1497" s="84" t="s">
        <v>1419</v>
      </c>
    </row>
    <row r="1498" spans="1:6" hidden="1" x14ac:dyDescent="0.25">
      <c r="A1498" s="85" t="s">
        <v>132</v>
      </c>
      <c r="B1498" s="85" t="s">
        <v>3264</v>
      </c>
      <c r="C1498" s="84" t="s">
        <v>922</v>
      </c>
      <c r="D1498" s="84" t="s">
        <v>1428</v>
      </c>
      <c r="E1498" s="84" t="s">
        <v>1399</v>
      </c>
      <c r="F1498" s="84" t="s">
        <v>1419</v>
      </c>
    </row>
    <row r="1499" spans="1:6" hidden="1" x14ac:dyDescent="0.25">
      <c r="A1499" s="85" t="s">
        <v>133</v>
      </c>
      <c r="B1499" s="85" t="s">
        <v>3265</v>
      </c>
      <c r="C1499" s="84" t="s">
        <v>922</v>
      </c>
      <c r="D1499" s="84" t="s">
        <v>1429</v>
      </c>
      <c r="E1499" s="84" t="s">
        <v>1399</v>
      </c>
      <c r="F1499" s="84" t="s">
        <v>1419</v>
      </c>
    </row>
    <row r="1500" spans="1:6" hidden="1" x14ac:dyDescent="0.25">
      <c r="A1500" s="85" t="s">
        <v>134</v>
      </c>
      <c r="B1500" s="85" t="s">
        <v>3266</v>
      </c>
      <c r="C1500" s="84" t="s">
        <v>922</v>
      </c>
      <c r="D1500" s="84" t="s">
        <v>1430</v>
      </c>
      <c r="E1500" s="84" t="s">
        <v>1399</v>
      </c>
      <c r="F1500" s="84" t="s">
        <v>1419</v>
      </c>
    </row>
    <row r="1501" spans="1:6" hidden="1" x14ac:dyDescent="0.25">
      <c r="A1501" s="85" t="s">
        <v>3267</v>
      </c>
      <c r="B1501" s="85" t="s">
        <v>3268</v>
      </c>
      <c r="C1501" s="84" t="s">
        <v>922</v>
      </c>
      <c r="D1501" s="84" t="s">
        <v>3269</v>
      </c>
      <c r="E1501" s="84" t="s">
        <v>1399</v>
      </c>
      <c r="F1501" s="84" t="s">
        <v>1419</v>
      </c>
    </row>
    <row r="1502" spans="1:6" hidden="1" x14ac:dyDescent="0.25">
      <c r="A1502" s="85" t="s">
        <v>3270</v>
      </c>
      <c r="B1502" s="85" t="s">
        <v>3271</v>
      </c>
      <c r="C1502" s="84" t="s">
        <v>922</v>
      </c>
      <c r="D1502" s="84" t="s">
        <v>3272</v>
      </c>
      <c r="E1502" s="84" t="s">
        <v>1399</v>
      </c>
      <c r="F1502" s="84" t="s">
        <v>1419</v>
      </c>
    </row>
    <row r="1503" spans="1:6" hidden="1" x14ac:dyDescent="0.25">
      <c r="A1503" s="85" t="s">
        <v>3273</v>
      </c>
      <c r="B1503" s="85" t="s">
        <v>3274</v>
      </c>
      <c r="C1503" s="84" t="s">
        <v>922</v>
      </c>
      <c r="D1503" s="84" t="s">
        <v>3275</v>
      </c>
      <c r="E1503" s="84" t="s">
        <v>1399</v>
      </c>
      <c r="F1503" s="84" t="s">
        <v>1419</v>
      </c>
    </row>
    <row r="1504" spans="1:6" hidden="1" x14ac:dyDescent="0.25">
      <c r="A1504" s="85" t="s">
        <v>3276</v>
      </c>
      <c r="B1504" s="85" t="s">
        <v>3277</v>
      </c>
      <c r="C1504" s="84" t="s">
        <v>922</v>
      </c>
      <c r="D1504" s="84" t="s">
        <v>3278</v>
      </c>
      <c r="E1504" s="84" t="s">
        <v>1399</v>
      </c>
      <c r="F1504" s="84" t="s">
        <v>1419</v>
      </c>
    </row>
    <row r="1505" spans="1:6" hidden="1" x14ac:dyDescent="0.25">
      <c r="A1505" s="85" t="s">
        <v>3279</v>
      </c>
      <c r="B1505" s="85" t="s">
        <v>3280</v>
      </c>
      <c r="C1505" s="84" t="s">
        <v>922</v>
      </c>
      <c r="D1505" s="84" t="s">
        <v>3281</v>
      </c>
      <c r="E1505" s="84" t="s">
        <v>1399</v>
      </c>
      <c r="F1505" s="84" t="s">
        <v>1419</v>
      </c>
    </row>
    <row r="1506" spans="1:6" hidden="1" x14ac:dyDescent="0.25">
      <c r="A1506" s="85" t="s">
        <v>3282</v>
      </c>
      <c r="B1506" s="85" t="s">
        <v>3283</v>
      </c>
      <c r="C1506" s="84" t="s">
        <v>922</v>
      </c>
      <c r="D1506" s="84" t="s">
        <v>3284</v>
      </c>
      <c r="E1506" s="84" t="s">
        <v>1399</v>
      </c>
      <c r="F1506" s="84" t="s">
        <v>1419</v>
      </c>
    </row>
    <row r="1507" spans="1:6" hidden="1" x14ac:dyDescent="0.25">
      <c r="A1507" s="85" t="s">
        <v>156</v>
      </c>
      <c r="B1507" s="85" t="s">
        <v>3285</v>
      </c>
      <c r="C1507" s="84" t="s">
        <v>922</v>
      </c>
      <c r="D1507" s="84" t="s">
        <v>1431</v>
      </c>
      <c r="E1507" s="84" t="s">
        <v>1399</v>
      </c>
      <c r="F1507" s="84" t="s">
        <v>1419</v>
      </c>
    </row>
    <row r="1508" spans="1:6" hidden="1" x14ac:dyDescent="0.25">
      <c r="A1508" s="85" t="s">
        <v>157</v>
      </c>
      <c r="B1508" s="85" t="s">
        <v>3286</v>
      </c>
      <c r="C1508" s="84" t="s">
        <v>922</v>
      </c>
      <c r="D1508" s="84" t="s">
        <v>1432</v>
      </c>
      <c r="E1508" s="84" t="s">
        <v>1399</v>
      </c>
      <c r="F1508" s="84" t="s">
        <v>1419</v>
      </c>
    </row>
    <row r="1509" spans="1:6" hidden="1" x14ac:dyDescent="0.25">
      <c r="A1509" s="85" t="s">
        <v>158</v>
      </c>
      <c r="B1509" s="85" t="s">
        <v>3287</v>
      </c>
      <c r="C1509" s="84" t="s">
        <v>922</v>
      </c>
      <c r="D1509" s="84" t="s">
        <v>1433</v>
      </c>
      <c r="E1509" s="84" t="s">
        <v>1399</v>
      </c>
      <c r="F1509" s="84" t="s">
        <v>1419</v>
      </c>
    </row>
    <row r="1510" spans="1:6" hidden="1" x14ac:dyDescent="0.25">
      <c r="A1510" s="85" t="s">
        <v>159</v>
      </c>
      <c r="B1510" s="85" t="s">
        <v>3288</v>
      </c>
      <c r="C1510" s="84" t="s">
        <v>922</v>
      </c>
      <c r="D1510" s="84" t="s">
        <v>1434</v>
      </c>
      <c r="E1510" s="84" t="s">
        <v>1399</v>
      </c>
      <c r="F1510" s="84" t="s">
        <v>1419</v>
      </c>
    </row>
    <row r="1511" spans="1:6" hidden="1" x14ac:dyDescent="0.25">
      <c r="A1511" s="85" t="s">
        <v>160</v>
      </c>
      <c r="B1511" s="85" t="s">
        <v>3289</v>
      </c>
      <c r="C1511" s="84" t="s">
        <v>922</v>
      </c>
      <c r="D1511" s="84" t="s">
        <v>1435</v>
      </c>
      <c r="E1511" s="84" t="s">
        <v>1399</v>
      </c>
      <c r="F1511" s="84" t="s">
        <v>1419</v>
      </c>
    </row>
    <row r="1512" spans="1:6" hidden="1" x14ac:dyDescent="0.25">
      <c r="A1512" s="85" t="s">
        <v>161</v>
      </c>
      <c r="B1512" s="85" t="s">
        <v>3290</v>
      </c>
      <c r="C1512" s="84" t="s">
        <v>922</v>
      </c>
      <c r="D1512" s="84" t="s">
        <v>1436</v>
      </c>
      <c r="E1512" s="84" t="s">
        <v>1399</v>
      </c>
      <c r="F1512" s="84" t="s">
        <v>1419</v>
      </c>
    </row>
    <row r="1513" spans="1:6" hidden="1" x14ac:dyDescent="0.25">
      <c r="A1513" s="85" t="s">
        <v>162</v>
      </c>
      <c r="B1513" s="85" t="s">
        <v>3291</v>
      </c>
      <c r="C1513" s="84" t="s">
        <v>922</v>
      </c>
      <c r="D1513" s="84" t="s">
        <v>1437</v>
      </c>
      <c r="E1513" s="84" t="s">
        <v>1399</v>
      </c>
      <c r="F1513" s="84" t="s">
        <v>1419</v>
      </c>
    </row>
    <row r="1514" spans="1:6" hidden="1" x14ac:dyDescent="0.25">
      <c r="A1514" s="85" t="s">
        <v>163</v>
      </c>
      <c r="B1514" s="85" t="s">
        <v>3292</v>
      </c>
      <c r="C1514" s="84" t="s">
        <v>922</v>
      </c>
      <c r="D1514" s="84" t="s">
        <v>1438</v>
      </c>
      <c r="E1514" s="84" t="s">
        <v>1399</v>
      </c>
      <c r="F1514" s="84" t="s">
        <v>1419</v>
      </c>
    </row>
    <row r="1515" spans="1:6" hidden="1" x14ac:dyDescent="0.25">
      <c r="A1515" s="85" t="s">
        <v>164</v>
      </c>
      <c r="B1515" s="85" t="s">
        <v>3293</v>
      </c>
      <c r="C1515" s="84" t="s">
        <v>922</v>
      </c>
      <c r="D1515" s="84" t="s">
        <v>1439</v>
      </c>
      <c r="E1515" s="84" t="s">
        <v>1399</v>
      </c>
      <c r="F1515" s="84" t="s">
        <v>1419</v>
      </c>
    </row>
    <row r="1516" spans="1:6" hidden="1" x14ac:dyDescent="0.25">
      <c r="A1516" s="85" t="s">
        <v>791</v>
      </c>
      <c r="B1516" s="85" t="s">
        <v>3294</v>
      </c>
      <c r="C1516" s="84" t="s">
        <v>922</v>
      </c>
      <c r="D1516" s="84" t="s">
        <v>1440</v>
      </c>
      <c r="E1516" s="84" t="s">
        <v>1399</v>
      </c>
      <c r="F1516" s="84" t="s">
        <v>1419</v>
      </c>
    </row>
    <row r="1517" spans="1:6" hidden="1" x14ac:dyDescent="0.25">
      <c r="A1517" s="85" t="s">
        <v>792</v>
      </c>
      <c r="B1517" s="85" t="s">
        <v>3295</v>
      </c>
      <c r="C1517" s="84" t="s">
        <v>922</v>
      </c>
      <c r="D1517" s="84" t="s">
        <v>1441</v>
      </c>
      <c r="E1517" s="84" t="s">
        <v>1399</v>
      </c>
      <c r="F1517" s="84" t="s">
        <v>1419</v>
      </c>
    </row>
    <row r="1518" spans="1:6" hidden="1" x14ac:dyDescent="0.25">
      <c r="A1518" s="85" t="s">
        <v>793</v>
      </c>
      <c r="B1518" s="85" t="s">
        <v>3296</v>
      </c>
      <c r="C1518" s="84" t="s">
        <v>922</v>
      </c>
      <c r="D1518" s="84" t="s">
        <v>1442</v>
      </c>
      <c r="E1518" s="84" t="s">
        <v>1399</v>
      </c>
      <c r="F1518" s="84" t="s">
        <v>1419</v>
      </c>
    </row>
    <row r="1519" spans="1:6" hidden="1" x14ac:dyDescent="0.25">
      <c r="A1519" s="85" t="s">
        <v>794</v>
      </c>
      <c r="B1519" s="85" t="s">
        <v>3297</v>
      </c>
      <c r="C1519" s="84" t="s">
        <v>922</v>
      </c>
      <c r="D1519" s="84" t="s">
        <v>1443</v>
      </c>
      <c r="E1519" s="84" t="s">
        <v>1399</v>
      </c>
      <c r="F1519" s="84" t="s">
        <v>1419</v>
      </c>
    </row>
    <row r="1520" spans="1:6" hidden="1" x14ac:dyDescent="0.25">
      <c r="A1520" s="85" t="s">
        <v>570</v>
      </c>
      <c r="B1520" s="85" t="s">
        <v>3298</v>
      </c>
      <c r="C1520" s="84" t="s">
        <v>922</v>
      </c>
      <c r="D1520" s="84" t="s">
        <v>1444</v>
      </c>
      <c r="E1520" s="84" t="s">
        <v>1399</v>
      </c>
      <c r="F1520" s="84" t="s">
        <v>1419</v>
      </c>
    </row>
    <row r="1521" spans="1:6" hidden="1" x14ac:dyDescent="0.25">
      <c r="A1521" s="85" t="s">
        <v>571</v>
      </c>
      <c r="B1521" s="85" t="s">
        <v>3299</v>
      </c>
      <c r="C1521" s="84" t="s">
        <v>922</v>
      </c>
      <c r="D1521" s="84" t="s">
        <v>1445</v>
      </c>
      <c r="E1521" s="84" t="s">
        <v>1399</v>
      </c>
      <c r="F1521" s="84" t="s">
        <v>1419</v>
      </c>
    </row>
    <row r="1522" spans="1:6" hidden="1" x14ac:dyDescent="0.25">
      <c r="A1522" s="85" t="s">
        <v>572</v>
      </c>
      <c r="B1522" s="85" t="s">
        <v>3300</v>
      </c>
      <c r="C1522" s="84" t="s">
        <v>922</v>
      </c>
      <c r="D1522" s="84" t="s">
        <v>1446</v>
      </c>
      <c r="E1522" s="84" t="s">
        <v>1399</v>
      </c>
      <c r="F1522" s="84" t="s">
        <v>1419</v>
      </c>
    </row>
    <row r="1523" spans="1:6" hidden="1" x14ac:dyDescent="0.25">
      <c r="A1523" s="85" t="s">
        <v>3301</v>
      </c>
      <c r="B1523" s="85" t="s">
        <v>3302</v>
      </c>
      <c r="C1523" s="84" t="s">
        <v>922</v>
      </c>
      <c r="D1523" s="84" t="s">
        <v>1418</v>
      </c>
      <c r="E1523" s="84" t="s">
        <v>1399</v>
      </c>
      <c r="F1523" s="84" t="s">
        <v>1419</v>
      </c>
    </row>
    <row r="1524" spans="1:6" hidden="1" x14ac:dyDescent="0.25">
      <c r="A1524" s="85" t="s">
        <v>3303</v>
      </c>
      <c r="B1524" s="85" t="s">
        <v>3304</v>
      </c>
      <c r="C1524" s="84" t="s">
        <v>922</v>
      </c>
      <c r="D1524" s="84" t="s">
        <v>1420</v>
      </c>
      <c r="E1524" s="84" t="s">
        <v>1399</v>
      </c>
      <c r="F1524" s="84" t="s">
        <v>1419</v>
      </c>
    </row>
    <row r="1525" spans="1:6" hidden="1" x14ac:dyDescent="0.25">
      <c r="A1525" s="85" t="s">
        <v>1447</v>
      </c>
      <c r="B1525" s="85" t="s">
        <v>3305</v>
      </c>
      <c r="C1525" s="84" t="s">
        <v>922</v>
      </c>
      <c r="D1525" s="84" t="s">
        <v>1448</v>
      </c>
      <c r="E1525" s="84" t="s">
        <v>1399</v>
      </c>
      <c r="F1525" s="84" t="s">
        <v>1419</v>
      </c>
    </row>
    <row r="1526" spans="1:6" hidden="1" x14ac:dyDescent="0.25">
      <c r="A1526" s="85" t="s">
        <v>1449</v>
      </c>
      <c r="B1526" s="85" t="s">
        <v>3306</v>
      </c>
      <c r="C1526" s="84" t="s">
        <v>922</v>
      </c>
      <c r="D1526" s="84" t="s">
        <v>1450</v>
      </c>
      <c r="E1526" s="84" t="s">
        <v>1399</v>
      </c>
      <c r="F1526" s="84" t="s">
        <v>1419</v>
      </c>
    </row>
    <row r="1527" spans="1:6" hidden="1" x14ac:dyDescent="0.25">
      <c r="A1527" s="85" t="s">
        <v>3307</v>
      </c>
      <c r="B1527" s="85" t="s">
        <v>3308</v>
      </c>
      <c r="C1527" s="84" t="s">
        <v>922</v>
      </c>
      <c r="D1527" s="84" t="s">
        <v>1421</v>
      </c>
      <c r="E1527" s="84" t="s">
        <v>1399</v>
      </c>
      <c r="F1527" s="84" t="s">
        <v>1419</v>
      </c>
    </row>
    <row r="1528" spans="1:6" hidden="1" x14ac:dyDescent="0.25">
      <c r="A1528" s="85" t="s">
        <v>3309</v>
      </c>
      <c r="B1528" s="85" t="s">
        <v>3309</v>
      </c>
      <c r="C1528" s="84" t="s">
        <v>922</v>
      </c>
      <c r="D1528" s="84" t="s">
        <v>1418</v>
      </c>
      <c r="E1528" s="84" t="s">
        <v>1399</v>
      </c>
      <c r="F1528" s="84" t="s">
        <v>1419</v>
      </c>
    </row>
    <row r="1529" spans="1:6" hidden="1" x14ac:dyDescent="0.25">
      <c r="A1529" s="85" t="s">
        <v>3310</v>
      </c>
      <c r="B1529" s="85" t="s">
        <v>3310</v>
      </c>
      <c r="C1529" s="84" t="s">
        <v>922</v>
      </c>
      <c r="D1529" s="84" t="s">
        <v>1420</v>
      </c>
      <c r="E1529" s="84" t="s">
        <v>1399</v>
      </c>
      <c r="F1529" s="84" t="s">
        <v>1419</v>
      </c>
    </row>
    <row r="1530" spans="1:6" hidden="1" x14ac:dyDescent="0.25">
      <c r="A1530" s="85" t="s">
        <v>3311</v>
      </c>
      <c r="B1530" s="85" t="s">
        <v>3311</v>
      </c>
      <c r="C1530" s="84" t="s">
        <v>922</v>
      </c>
      <c r="D1530" s="84" t="s">
        <v>1448</v>
      </c>
      <c r="E1530" s="84" t="s">
        <v>1399</v>
      </c>
      <c r="F1530" s="84" t="s">
        <v>1419</v>
      </c>
    </row>
    <row r="1531" spans="1:6" hidden="1" x14ac:dyDescent="0.25">
      <c r="A1531" s="85" t="s">
        <v>3312</v>
      </c>
      <c r="B1531" s="85" t="s">
        <v>3312</v>
      </c>
      <c r="C1531" s="84" t="s">
        <v>922</v>
      </c>
      <c r="D1531" s="84" t="s">
        <v>1450</v>
      </c>
      <c r="E1531" s="84" t="s">
        <v>1399</v>
      </c>
      <c r="F1531" s="84" t="s">
        <v>1419</v>
      </c>
    </row>
    <row r="1532" spans="1:6" hidden="1" x14ac:dyDescent="0.25">
      <c r="A1532" s="85" t="s">
        <v>3313</v>
      </c>
      <c r="B1532" s="85" t="s">
        <v>3313</v>
      </c>
      <c r="C1532" s="84" t="s">
        <v>922</v>
      </c>
      <c r="D1532" s="84" t="s">
        <v>1421</v>
      </c>
      <c r="E1532" s="84" t="s">
        <v>1399</v>
      </c>
      <c r="F1532" s="84" t="s">
        <v>1419</v>
      </c>
    </row>
    <row r="1533" spans="1:6" hidden="1" x14ac:dyDescent="0.25">
      <c r="A1533" s="85" t="s">
        <v>3314</v>
      </c>
      <c r="B1533" s="85" t="s">
        <v>3314</v>
      </c>
      <c r="C1533" s="84" t="s">
        <v>922</v>
      </c>
      <c r="D1533" s="84" t="s">
        <v>1422</v>
      </c>
      <c r="E1533" s="84" t="s">
        <v>1399</v>
      </c>
      <c r="F1533" s="84" t="s">
        <v>1419</v>
      </c>
    </row>
    <row r="1534" spans="1:6" hidden="1" x14ac:dyDescent="0.25">
      <c r="A1534" s="85" t="s">
        <v>3315</v>
      </c>
      <c r="B1534" s="85" t="s">
        <v>3315</v>
      </c>
      <c r="C1534" s="84" t="s">
        <v>922</v>
      </c>
      <c r="D1534" s="84" t="s">
        <v>1423</v>
      </c>
      <c r="E1534" s="84" t="s">
        <v>1399</v>
      </c>
      <c r="F1534" s="84" t="s">
        <v>1419</v>
      </c>
    </row>
    <row r="1535" spans="1:6" hidden="1" x14ac:dyDescent="0.25">
      <c r="A1535" s="85" t="s">
        <v>3316</v>
      </c>
      <c r="B1535" s="85" t="s">
        <v>3316</v>
      </c>
      <c r="C1535" s="84" t="s">
        <v>922</v>
      </c>
      <c r="D1535" s="84" t="s">
        <v>1424</v>
      </c>
      <c r="E1535" s="84" t="s">
        <v>1399</v>
      </c>
      <c r="F1535" s="84" t="s">
        <v>1419</v>
      </c>
    </row>
    <row r="1536" spans="1:6" hidden="1" x14ac:dyDescent="0.25">
      <c r="A1536" s="85" t="s">
        <v>3317</v>
      </c>
      <c r="B1536" s="85" t="s">
        <v>3317</v>
      </c>
      <c r="C1536" s="84" t="s">
        <v>922</v>
      </c>
      <c r="D1536" s="84" t="s">
        <v>3278</v>
      </c>
      <c r="E1536" s="84" t="s">
        <v>1399</v>
      </c>
      <c r="F1536" s="84" t="s">
        <v>1419</v>
      </c>
    </row>
    <row r="1537" spans="1:6" hidden="1" x14ac:dyDescent="0.25">
      <c r="A1537" s="85" t="s">
        <v>3318</v>
      </c>
      <c r="B1537" s="85" t="s">
        <v>3318</v>
      </c>
      <c r="C1537" s="84" t="s">
        <v>922</v>
      </c>
      <c r="D1537" s="84" t="s">
        <v>3281</v>
      </c>
      <c r="E1537" s="84" t="s">
        <v>1399</v>
      </c>
      <c r="F1537" s="84" t="s">
        <v>1419</v>
      </c>
    </row>
    <row r="1538" spans="1:6" hidden="1" x14ac:dyDescent="0.25">
      <c r="A1538" s="85" t="s">
        <v>3319</v>
      </c>
      <c r="B1538" s="85" t="s">
        <v>3319</v>
      </c>
      <c r="C1538" s="84" t="s">
        <v>922</v>
      </c>
      <c r="D1538" s="84" t="s">
        <v>3284</v>
      </c>
      <c r="E1538" s="84" t="s">
        <v>1399</v>
      </c>
      <c r="F1538" s="84" t="s">
        <v>1419</v>
      </c>
    </row>
    <row r="1539" spans="1:6" hidden="1" x14ac:dyDescent="0.25">
      <c r="A1539" s="85" t="s">
        <v>3320</v>
      </c>
      <c r="B1539" s="85" t="s">
        <v>3320</v>
      </c>
      <c r="C1539" s="84" t="s">
        <v>922</v>
      </c>
      <c r="D1539" s="84" t="s">
        <v>1431</v>
      </c>
      <c r="E1539" s="84" t="s">
        <v>1399</v>
      </c>
      <c r="F1539" s="84" t="s">
        <v>1419</v>
      </c>
    </row>
    <row r="1540" spans="1:6" hidden="1" x14ac:dyDescent="0.25">
      <c r="A1540" s="85" t="s">
        <v>3321</v>
      </c>
      <c r="B1540" s="85" t="s">
        <v>3321</v>
      </c>
      <c r="C1540" s="84" t="s">
        <v>922</v>
      </c>
      <c r="D1540" s="84" t="s">
        <v>1432</v>
      </c>
      <c r="E1540" s="84" t="s">
        <v>1399</v>
      </c>
      <c r="F1540" s="84" t="s">
        <v>1419</v>
      </c>
    </row>
    <row r="1541" spans="1:6" hidden="1" x14ac:dyDescent="0.25">
      <c r="A1541" s="85" t="s">
        <v>3322</v>
      </c>
      <c r="B1541" s="85" t="s">
        <v>3322</v>
      </c>
      <c r="C1541" s="84" t="s">
        <v>922</v>
      </c>
      <c r="D1541" s="84" t="s">
        <v>1433</v>
      </c>
      <c r="E1541" s="84" t="s">
        <v>1399</v>
      </c>
      <c r="F1541" s="84" t="s">
        <v>1419</v>
      </c>
    </row>
    <row r="1542" spans="1:6" hidden="1" x14ac:dyDescent="0.25">
      <c r="A1542" s="85" t="s">
        <v>3323</v>
      </c>
      <c r="B1542" s="85" t="s">
        <v>3323</v>
      </c>
      <c r="C1542" s="84" t="s">
        <v>922</v>
      </c>
      <c r="D1542" s="84" t="s">
        <v>1434</v>
      </c>
      <c r="E1542" s="84" t="s">
        <v>1399</v>
      </c>
      <c r="F1542" s="84" t="s">
        <v>1419</v>
      </c>
    </row>
    <row r="1543" spans="1:6" hidden="1" x14ac:dyDescent="0.25">
      <c r="A1543" s="85" t="s">
        <v>3324</v>
      </c>
      <c r="B1543" s="85" t="s">
        <v>3324</v>
      </c>
      <c r="C1543" s="84" t="s">
        <v>922</v>
      </c>
      <c r="D1543" s="84" t="s">
        <v>1435</v>
      </c>
      <c r="E1543" s="84" t="s">
        <v>1399</v>
      </c>
      <c r="F1543" s="84" t="s">
        <v>1419</v>
      </c>
    </row>
    <row r="1544" spans="1:6" hidden="1" x14ac:dyDescent="0.25">
      <c r="A1544" s="85" t="s">
        <v>3325</v>
      </c>
      <c r="B1544" s="85" t="s">
        <v>3325</v>
      </c>
      <c r="C1544" s="84" t="s">
        <v>922</v>
      </c>
      <c r="D1544" s="84" t="s">
        <v>1436</v>
      </c>
      <c r="E1544" s="84" t="s">
        <v>1399</v>
      </c>
      <c r="F1544" s="84" t="s">
        <v>1419</v>
      </c>
    </row>
    <row r="1545" spans="1:6" hidden="1" x14ac:dyDescent="0.25">
      <c r="A1545" s="85" t="s">
        <v>3326</v>
      </c>
      <c r="B1545" s="85" t="s">
        <v>3326</v>
      </c>
      <c r="C1545" s="84" t="s">
        <v>922</v>
      </c>
      <c r="D1545" s="84" t="s">
        <v>1437</v>
      </c>
      <c r="E1545" s="84" t="s">
        <v>1399</v>
      </c>
      <c r="F1545" s="84" t="s">
        <v>1419</v>
      </c>
    </row>
    <row r="1546" spans="1:6" hidden="1" x14ac:dyDescent="0.25">
      <c r="A1546" s="85" t="s">
        <v>3327</v>
      </c>
      <c r="B1546" s="85" t="s">
        <v>3327</v>
      </c>
      <c r="C1546" s="84" t="s">
        <v>922</v>
      </c>
      <c r="D1546" s="84" t="s">
        <v>1438</v>
      </c>
      <c r="E1546" s="84" t="s">
        <v>1399</v>
      </c>
      <c r="F1546" s="84" t="s">
        <v>1419</v>
      </c>
    </row>
    <row r="1547" spans="1:6" hidden="1" x14ac:dyDescent="0.25">
      <c r="A1547" s="85" t="s">
        <v>3328</v>
      </c>
      <c r="B1547" s="85" t="s">
        <v>3328</v>
      </c>
      <c r="C1547" s="84" t="s">
        <v>922</v>
      </c>
      <c r="D1547" s="84" t="s">
        <v>3329</v>
      </c>
      <c r="E1547" s="84" t="s">
        <v>1399</v>
      </c>
      <c r="F1547" s="84" t="s">
        <v>1419</v>
      </c>
    </row>
    <row r="1548" spans="1:6" hidden="1" x14ac:dyDescent="0.25">
      <c r="A1548" s="85" t="s">
        <v>3330</v>
      </c>
      <c r="B1548" s="85" t="s">
        <v>3330</v>
      </c>
      <c r="C1548" s="84" t="s">
        <v>922</v>
      </c>
      <c r="D1548" s="84" t="s">
        <v>1440</v>
      </c>
      <c r="E1548" s="84" t="s">
        <v>1399</v>
      </c>
      <c r="F1548" s="84" t="s">
        <v>1419</v>
      </c>
    </row>
    <row r="1549" spans="1:6" hidden="1" x14ac:dyDescent="0.25">
      <c r="A1549" s="85" t="s">
        <v>3331</v>
      </c>
      <c r="B1549" s="85" t="s">
        <v>3331</v>
      </c>
      <c r="C1549" s="84" t="s">
        <v>922</v>
      </c>
      <c r="D1549" s="84" t="s">
        <v>1441</v>
      </c>
      <c r="E1549" s="84" t="s">
        <v>1399</v>
      </c>
      <c r="F1549" s="84" t="s">
        <v>1419</v>
      </c>
    </row>
    <row r="1550" spans="1:6" hidden="1" x14ac:dyDescent="0.25">
      <c r="A1550" s="85" t="s">
        <v>3332</v>
      </c>
      <c r="B1550" s="85" t="s">
        <v>3332</v>
      </c>
      <c r="C1550" s="84" t="s">
        <v>922</v>
      </c>
      <c r="D1550" s="84" t="s">
        <v>1442</v>
      </c>
      <c r="E1550" s="84" t="s">
        <v>1399</v>
      </c>
      <c r="F1550" s="84" t="s">
        <v>1419</v>
      </c>
    </row>
    <row r="1551" spans="1:6" hidden="1" x14ac:dyDescent="0.25">
      <c r="A1551" s="85" t="s">
        <v>3333</v>
      </c>
      <c r="B1551" s="85" t="s">
        <v>3333</v>
      </c>
      <c r="C1551" s="84" t="s">
        <v>922</v>
      </c>
      <c r="D1551" s="84" t="s">
        <v>1443</v>
      </c>
      <c r="E1551" s="84" t="s">
        <v>1399</v>
      </c>
      <c r="F1551" s="84" t="s">
        <v>1419</v>
      </c>
    </row>
    <row r="1552" spans="1:6" hidden="1" x14ac:dyDescent="0.25">
      <c r="A1552" s="85" t="s">
        <v>3334</v>
      </c>
      <c r="B1552" s="85" t="s">
        <v>3334</v>
      </c>
      <c r="C1552" s="84" t="s">
        <v>922</v>
      </c>
      <c r="D1552" s="84" t="s">
        <v>1444</v>
      </c>
      <c r="E1552" s="84" t="s">
        <v>1399</v>
      </c>
      <c r="F1552" s="84" t="s">
        <v>1419</v>
      </c>
    </row>
    <row r="1553" spans="1:6" hidden="1" x14ac:dyDescent="0.25">
      <c r="A1553" s="85" t="s">
        <v>3335</v>
      </c>
      <c r="B1553" s="85" t="s">
        <v>3335</v>
      </c>
      <c r="C1553" s="84" t="s">
        <v>922</v>
      </c>
      <c r="D1553" s="84" t="s">
        <v>1445</v>
      </c>
      <c r="E1553" s="84" t="s">
        <v>1399</v>
      </c>
      <c r="F1553" s="84" t="s">
        <v>1419</v>
      </c>
    </row>
    <row r="1554" spans="1:6" hidden="1" x14ac:dyDescent="0.25">
      <c r="A1554" s="85" t="s">
        <v>3336</v>
      </c>
      <c r="B1554" s="85" t="s">
        <v>3336</v>
      </c>
      <c r="C1554" s="84" t="s">
        <v>922</v>
      </c>
      <c r="D1554" s="84" t="s">
        <v>1446</v>
      </c>
      <c r="E1554" s="84" t="s">
        <v>1399</v>
      </c>
      <c r="F1554" s="84" t="s">
        <v>1419</v>
      </c>
    </row>
    <row r="1555" spans="1:6" hidden="1" x14ac:dyDescent="0.25">
      <c r="A1555" s="85">
        <v>92739</v>
      </c>
      <c r="B1555" s="85">
        <v>92739</v>
      </c>
      <c r="C1555" s="84" t="s">
        <v>2888</v>
      </c>
      <c r="D1555" s="84" t="s">
        <v>3337</v>
      </c>
      <c r="E1555" s="84" t="s">
        <v>1399</v>
      </c>
      <c r="F1555" s="84" t="s">
        <v>1419</v>
      </c>
    </row>
    <row r="1556" spans="1:6" hidden="1" x14ac:dyDescent="0.25">
      <c r="A1556" s="85">
        <v>92740</v>
      </c>
      <c r="B1556" s="85">
        <v>92740</v>
      </c>
      <c r="C1556" s="84" t="s">
        <v>2888</v>
      </c>
      <c r="D1556" s="84" t="s">
        <v>3338</v>
      </c>
      <c r="E1556" s="84" t="s">
        <v>1399</v>
      </c>
      <c r="F1556" s="84" t="s">
        <v>1419</v>
      </c>
    </row>
    <row r="1557" spans="1:6" hidden="1" x14ac:dyDescent="0.25">
      <c r="A1557" s="85">
        <v>92741</v>
      </c>
      <c r="B1557" s="85">
        <v>92741</v>
      </c>
      <c r="C1557" s="84" t="s">
        <v>2888</v>
      </c>
      <c r="D1557" s="84" t="s">
        <v>3339</v>
      </c>
      <c r="E1557" s="84" t="s">
        <v>1399</v>
      </c>
      <c r="F1557" s="84" t="s">
        <v>1419</v>
      </c>
    </row>
    <row r="1558" spans="1:6" hidden="1" x14ac:dyDescent="0.25">
      <c r="A1558" s="85">
        <v>92742</v>
      </c>
      <c r="B1558" s="85">
        <v>92742</v>
      </c>
      <c r="C1558" s="84" t="s">
        <v>2888</v>
      </c>
      <c r="D1558" s="84" t="s">
        <v>3340</v>
      </c>
      <c r="E1558" s="84" t="s">
        <v>1399</v>
      </c>
      <c r="F1558" s="84" t="s">
        <v>1419</v>
      </c>
    </row>
    <row r="1559" spans="1:6" hidden="1" x14ac:dyDescent="0.25">
      <c r="A1559" s="85">
        <v>92766</v>
      </c>
      <c r="B1559" s="85">
        <v>92766</v>
      </c>
      <c r="C1559" s="84" t="s">
        <v>2888</v>
      </c>
      <c r="D1559" s="84" t="s">
        <v>3341</v>
      </c>
      <c r="E1559" s="84" t="s">
        <v>1399</v>
      </c>
      <c r="F1559" s="84" t="s">
        <v>1419</v>
      </c>
    </row>
    <row r="1560" spans="1:6" hidden="1" x14ac:dyDescent="0.25">
      <c r="A1560" s="85">
        <v>92770</v>
      </c>
      <c r="B1560" s="85">
        <v>92770</v>
      </c>
      <c r="C1560" s="84" t="s">
        <v>2888</v>
      </c>
      <c r="D1560" s="84" t="s">
        <v>3342</v>
      </c>
      <c r="E1560" s="84" t="s">
        <v>1399</v>
      </c>
      <c r="F1560" s="84" t="s">
        <v>1419</v>
      </c>
    </row>
    <row r="1561" spans="1:6" hidden="1" x14ac:dyDescent="0.25">
      <c r="A1561" s="85" t="s">
        <v>66</v>
      </c>
      <c r="B1561" s="85" t="s">
        <v>66</v>
      </c>
      <c r="C1561" s="84" t="s">
        <v>958</v>
      </c>
      <c r="D1561" s="84" t="s">
        <v>684</v>
      </c>
      <c r="E1561" s="84" t="s">
        <v>1399</v>
      </c>
      <c r="F1561" s="84" t="s">
        <v>1419</v>
      </c>
    </row>
    <row r="1562" spans="1:6" hidden="1" x14ac:dyDescent="0.25">
      <c r="A1562" s="85" t="s">
        <v>67</v>
      </c>
      <c r="B1562" s="85" t="s">
        <v>67</v>
      </c>
      <c r="C1562" s="84" t="s">
        <v>958</v>
      </c>
      <c r="D1562" s="84" t="s">
        <v>685</v>
      </c>
      <c r="E1562" s="84" t="s">
        <v>1399</v>
      </c>
      <c r="F1562" s="84" t="s">
        <v>1419</v>
      </c>
    </row>
    <row r="1563" spans="1:6" hidden="1" x14ac:dyDescent="0.25">
      <c r="A1563" s="85" t="s">
        <v>68</v>
      </c>
      <c r="B1563" s="85" t="s">
        <v>68</v>
      </c>
      <c r="C1563" s="84" t="s">
        <v>958</v>
      </c>
      <c r="D1563" s="84" t="s">
        <v>686</v>
      </c>
      <c r="E1563" s="84" t="s">
        <v>1399</v>
      </c>
      <c r="F1563" s="84" t="s">
        <v>1419</v>
      </c>
    </row>
    <row r="1564" spans="1:6" hidden="1" x14ac:dyDescent="0.25">
      <c r="A1564" s="85" t="s">
        <v>69</v>
      </c>
      <c r="B1564" s="85" t="s">
        <v>69</v>
      </c>
      <c r="C1564" s="84" t="s">
        <v>958</v>
      </c>
      <c r="D1564" s="84" t="s">
        <v>687</v>
      </c>
      <c r="E1564" s="84" t="s">
        <v>1399</v>
      </c>
      <c r="F1564" s="84" t="s">
        <v>1419</v>
      </c>
    </row>
    <row r="1565" spans="1:6" hidden="1" x14ac:dyDescent="0.25">
      <c r="A1565" s="85" t="s">
        <v>70</v>
      </c>
      <c r="B1565" s="85" t="s">
        <v>70</v>
      </c>
      <c r="C1565" s="84" t="s">
        <v>958</v>
      </c>
      <c r="D1565" s="84" t="s">
        <v>688</v>
      </c>
      <c r="E1565" s="84" t="s">
        <v>1399</v>
      </c>
      <c r="F1565" s="84" t="s">
        <v>1419</v>
      </c>
    </row>
    <row r="1566" spans="1:6" hidden="1" x14ac:dyDescent="0.25">
      <c r="A1566" s="85" t="s">
        <v>71</v>
      </c>
      <c r="B1566" s="85" t="s">
        <v>71</v>
      </c>
      <c r="C1566" s="84" t="s">
        <v>958</v>
      </c>
      <c r="D1566" s="84" t="s">
        <v>689</v>
      </c>
      <c r="E1566" s="84" t="s">
        <v>1399</v>
      </c>
      <c r="F1566" s="84" t="s">
        <v>1419</v>
      </c>
    </row>
    <row r="1567" spans="1:6" hidden="1" x14ac:dyDescent="0.25">
      <c r="A1567" s="85" t="s">
        <v>573</v>
      </c>
      <c r="B1567" s="85" t="s">
        <v>573</v>
      </c>
      <c r="C1567" s="84" t="s">
        <v>958</v>
      </c>
      <c r="D1567" s="84" t="s">
        <v>574</v>
      </c>
      <c r="E1567" s="84" t="s">
        <v>1399</v>
      </c>
      <c r="F1567" s="84" t="s">
        <v>1419</v>
      </c>
    </row>
    <row r="1568" spans="1:6" hidden="1" x14ac:dyDescent="0.25">
      <c r="A1568" s="85" t="s">
        <v>575</v>
      </c>
      <c r="B1568" s="85" t="s">
        <v>575</v>
      </c>
      <c r="C1568" s="84" t="s">
        <v>958</v>
      </c>
      <c r="D1568" s="84" t="s">
        <v>576</v>
      </c>
      <c r="E1568" s="84" t="s">
        <v>1399</v>
      </c>
      <c r="F1568" s="84" t="s">
        <v>1419</v>
      </c>
    </row>
    <row r="1569" spans="1:6" hidden="1" x14ac:dyDescent="0.25">
      <c r="A1569" s="85" t="s">
        <v>72</v>
      </c>
      <c r="B1569" s="85" t="s">
        <v>72</v>
      </c>
      <c r="C1569" s="84" t="s">
        <v>958</v>
      </c>
      <c r="D1569" s="84" t="s">
        <v>690</v>
      </c>
      <c r="E1569" s="84" t="s">
        <v>1399</v>
      </c>
      <c r="F1569" s="84" t="s">
        <v>1419</v>
      </c>
    </row>
    <row r="1570" spans="1:6" hidden="1" x14ac:dyDescent="0.25">
      <c r="A1570" s="85" t="s">
        <v>73</v>
      </c>
      <c r="B1570" s="85" t="s">
        <v>73</v>
      </c>
      <c r="C1570" s="84" t="s">
        <v>958</v>
      </c>
      <c r="D1570" s="84" t="s">
        <v>691</v>
      </c>
      <c r="E1570" s="84" t="s">
        <v>1399</v>
      </c>
      <c r="F1570" s="84" t="s">
        <v>1419</v>
      </c>
    </row>
    <row r="1571" spans="1:6" hidden="1" x14ac:dyDescent="0.25">
      <c r="A1571" s="85" t="s">
        <v>74</v>
      </c>
      <c r="B1571" s="85" t="s">
        <v>74</v>
      </c>
      <c r="C1571" s="84" t="s">
        <v>958</v>
      </c>
      <c r="D1571" s="84" t="s">
        <v>692</v>
      </c>
      <c r="E1571" s="84" t="s">
        <v>1399</v>
      </c>
      <c r="F1571" s="84" t="s">
        <v>1419</v>
      </c>
    </row>
    <row r="1572" spans="1:6" hidden="1" x14ac:dyDescent="0.25">
      <c r="A1572" s="85" t="s">
        <v>75</v>
      </c>
      <c r="B1572" s="85" t="s">
        <v>75</v>
      </c>
      <c r="C1572" s="84" t="s">
        <v>958</v>
      </c>
      <c r="D1572" s="84" t="s">
        <v>693</v>
      </c>
      <c r="E1572" s="84" t="s">
        <v>1399</v>
      </c>
      <c r="F1572" s="84" t="s">
        <v>1419</v>
      </c>
    </row>
    <row r="1573" spans="1:6" hidden="1" x14ac:dyDescent="0.25">
      <c r="A1573" s="85" t="s">
        <v>76</v>
      </c>
      <c r="B1573" s="85" t="s">
        <v>76</v>
      </c>
      <c r="C1573" s="84" t="s">
        <v>958</v>
      </c>
      <c r="D1573" s="84" t="s">
        <v>694</v>
      </c>
      <c r="E1573" s="84" t="s">
        <v>1399</v>
      </c>
      <c r="F1573" s="84" t="s">
        <v>1419</v>
      </c>
    </row>
    <row r="1574" spans="1:6" hidden="1" x14ac:dyDescent="0.25">
      <c r="A1574" s="85" t="s">
        <v>77</v>
      </c>
      <c r="B1574" s="85" t="s">
        <v>77</v>
      </c>
      <c r="C1574" s="84" t="s">
        <v>958</v>
      </c>
      <c r="D1574" s="84" t="s">
        <v>695</v>
      </c>
      <c r="E1574" s="84" t="s">
        <v>1399</v>
      </c>
      <c r="F1574" s="84" t="s">
        <v>1419</v>
      </c>
    </row>
    <row r="1575" spans="1:6" hidden="1" x14ac:dyDescent="0.25">
      <c r="A1575" s="85" t="s">
        <v>1451</v>
      </c>
      <c r="B1575" s="85" t="s">
        <v>1451</v>
      </c>
      <c r="C1575" s="84" t="s">
        <v>958</v>
      </c>
      <c r="D1575" s="84" t="s">
        <v>1452</v>
      </c>
      <c r="E1575" s="84" t="s">
        <v>1399</v>
      </c>
      <c r="F1575" s="84" t="s">
        <v>1419</v>
      </c>
    </row>
    <row r="1576" spans="1:6" hidden="1" x14ac:dyDescent="0.25">
      <c r="A1576" s="85" t="s">
        <v>1453</v>
      </c>
      <c r="B1576" s="85" t="s">
        <v>1453</v>
      </c>
      <c r="C1576" s="84" t="s">
        <v>958</v>
      </c>
      <c r="D1576" s="84" t="s">
        <v>1454</v>
      </c>
      <c r="E1576" s="84" t="s">
        <v>1399</v>
      </c>
      <c r="F1576" s="84" t="s">
        <v>1419</v>
      </c>
    </row>
    <row r="1577" spans="1:6" hidden="1" x14ac:dyDescent="0.25">
      <c r="A1577" s="85" t="s">
        <v>1455</v>
      </c>
      <c r="B1577" s="85" t="s">
        <v>1455</v>
      </c>
      <c r="C1577" s="84" t="s">
        <v>958</v>
      </c>
      <c r="D1577" s="84" t="s">
        <v>1456</v>
      </c>
      <c r="E1577" s="84" t="s">
        <v>1399</v>
      </c>
      <c r="F1577" s="84" t="s">
        <v>1419</v>
      </c>
    </row>
    <row r="1578" spans="1:6" hidden="1" x14ac:dyDescent="0.25">
      <c r="A1578" s="85" t="s">
        <v>1457</v>
      </c>
      <c r="B1578" s="85" t="s">
        <v>1457</v>
      </c>
      <c r="C1578" s="84" t="s">
        <v>958</v>
      </c>
      <c r="D1578" s="84" t="s">
        <v>1458</v>
      </c>
      <c r="E1578" s="84" t="s">
        <v>1399</v>
      </c>
      <c r="F1578" s="84" t="s">
        <v>1419</v>
      </c>
    </row>
    <row r="1579" spans="1:6" hidden="1" x14ac:dyDescent="0.25">
      <c r="A1579" s="85" t="s">
        <v>1459</v>
      </c>
      <c r="B1579" s="85" t="s">
        <v>1459</v>
      </c>
      <c r="C1579" s="84" t="s">
        <v>958</v>
      </c>
      <c r="D1579" s="84" t="s">
        <v>1460</v>
      </c>
      <c r="E1579" s="84" t="s">
        <v>1399</v>
      </c>
      <c r="F1579" s="84" t="s">
        <v>1419</v>
      </c>
    </row>
    <row r="1580" spans="1:6" hidden="1" x14ac:dyDescent="0.25">
      <c r="A1580" s="85" t="s">
        <v>1461</v>
      </c>
      <c r="B1580" s="85" t="s">
        <v>1461</v>
      </c>
      <c r="C1580" s="84" t="s">
        <v>958</v>
      </c>
      <c r="D1580" s="84" t="s">
        <v>1462</v>
      </c>
      <c r="E1580" s="84" t="s">
        <v>1399</v>
      </c>
      <c r="F1580" s="84" t="s">
        <v>1419</v>
      </c>
    </row>
    <row r="1581" spans="1:6" hidden="1" x14ac:dyDescent="0.25">
      <c r="A1581" s="85" t="s">
        <v>103</v>
      </c>
      <c r="B1581" s="85" t="s">
        <v>103</v>
      </c>
      <c r="C1581" s="84" t="s">
        <v>958</v>
      </c>
      <c r="D1581" s="84" t="s">
        <v>721</v>
      </c>
      <c r="E1581" s="84" t="s">
        <v>1399</v>
      </c>
      <c r="F1581" s="84" t="s">
        <v>1419</v>
      </c>
    </row>
    <row r="1582" spans="1:6" hidden="1" x14ac:dyDescent="0.25">
      <c r="A1582" s="85" t="s">
        <v>104</v>
      </c>
      <c r="B1582" s="85" t="s">
        <v>104</v>
      </c>
      <c r="C1582" s="84" t="s">
        <v>958</v>
      </c>
      <c r="D1582" s="84" t="s">
        <v>722</v>
      </c>
      <c r="E1582" s="84" t="s">
        <v>1399</v>
      </c>
      <c r="F1582" s="84" t="s">
        <v>1419</v>
      </c>
    </row>
    <row r="1583" spans="1:6" hidden="1" x14ac:dyDescent="0.25">
      <c r="A1583" s="85" t="s">
        <v>105</v>
      </c>
      <c r="B1583" s="85" t="s">
        <v>105</v>
      </c>
      <c r="C1583" s="84" t="s">
        <v>958</v>
      </c>
      <c r="D1583" s="84" t="s">
        <v>723</v>
      </c>
      <c r="E1583" s="84" t="s">
        <v>1399</v>
      </c>
      <c r="F1583" s="84" t="s">
        <v>1419</v>
      </c>
    </row>
    <row r="1584" spans="1:6" hidden="1" x14ac:dyDescent="0.25">
      <c r="A1584" s="85" t="s">
        <v>106</v>
      </c>
      <c r="B1584" s="85" t="s">
        <v>106</v>
      </c>
      <c r="C1584" s="84" t="s">
        <v>958</v>
      </c>
      <c r="D1584" s="84" t="s">
        <v>724</v>
      </c>
      <c r="E1584" s="84" t="s">
        <v>1399</v>
      </c>
      <c r="F1584" s="84" t="s">
        <v>1419</v>
      </c>
    </row>
    <row r="1585" spans="1:6" hidden="1" x14ac:dyDescent="0.25">
      <c r="A1585" s="85" t="s">
        <v>107</v>
      </c>
      <c r="B1585" s="85" t="s">
        <v>107</v>
      </c>
      <c r="C1585" s="84" t="s">
        <v>958</v>
      </c>
      <c r="D1585" s="84" t="s">
        <v>725</v>
      </c>
      <c r="E1585" s="84" t="s">
        <v>1399</v>
      </c>
      <c r="F1585" s="84" t="s">
        <v>1419</v>
      </c>
    </row>
    <row r="1586" spans="1:6" hidden="1" x14ac:dyDescent="0.25">
      <c r="A1586" s="85" t="s">
        <v>108</v>
      </c>
      <c r="B1586" s="85" t="s">
        <v>108</v>
      </c>
      <c r="C1586" s="84" t="s">
        <v>958</v>
      </c>
      <c r="D1586" s="84" t="s">
        <v>726</v>
      </c>
      <c r="E1586" s="84" t="s">
        <v>1399</v>
      </c>
      <c r="F1586" s="84" t="s">
        <v>1419</v>
      </c>
    </row>
    <row r="1587" spans="1:6" hidden="1" x14ac:dyDescent="0.25">
      <c r="A1587" s="85" t="s">
        <v>109</v>
      </c>
      <c r="B1587" s="85" t="s">
        <v>109</v>
      </c>
      <c r="C1587" s="84" t="s">
        <v>958</v>
      </c>
      <c r="D1587" s="84" t="s">
        <v>727</v>
      </c>
      <c r="E1587" s="84" t="s">
        <v>1399</v>
      </c>
      <c r="F1587" s="84" t="s">
        <v>1419</v>
      </c>
    </row>
    <row r="1588" spans="1:6" hidden="1" x14ac:dyDescent="0.25">
      <c r="A1588" s="85" t="s">
        <v>110</v>
      </c>
      <c r="B1588" s="85" t="s">
        <v>110</v>
      </c>
      <c r="C1588" s="84" t="s">
        <v>958</v>
      </c>
      <c r="D1588" s="84" t="s">
        <v>728</v>
      </c>
      <c r="E1588" s="84" t="s">
        <v>1399</v>
      </c>
      <c r="F1588" s="84" t="s">
        <v>1419</v>
      </c>
    </row>
    <row r="1589" spans="1:6" hidden="1" x14ac:dyDescent="0.25">
      <c r="A1589" s="85" t="s">
        <v>111</v>
      </c>
      <c r="B1589" s="85" t="s">
        <v>111</v>
      </c>
      <c r="C1589" s="84" t="s">
        <v>958</v>
      </c>
      <c r="D1589" s="84" t="s">
        <v>729</v>
      </c>
      <c r="E1589" s="84" t="s">
        <v>1399</v>
      </c>
      <c r="F1589" s="84" t="s">
        <v>1419</v>
      </c>
    </row>
    <row r="1590" spans="1:6" hidden="1" x14ac:dyDescent="0.25">
      <c r="A1590" s="85" t="s">
        <v>829</v>
      </c>
      <c r="B1590" s="85" t="s">
        <v>829</v>
      </c>
      <c r="C1590" s="84" t="s">
        <v>958</v>
      </c>
      <c r="D1590" s="84" t="s">
        <v>1463</v>
      </c>
      <c r="E1590" s="84" t="s">
        <v>1399</v>
      </c>
      <c r="F1590" s="84" t="s">
        <v>1419</v>
      </c>
    </row>
    <row r="1591" spans="1:6" hidden="1" x14ac:dyDescent="0.25">
      <c r="A1591" s="85" t="s">
        <v>831</v>
      </c>
      <c r="B1591" s="85" t="s">
        <v>831</v>
      </c>
      <c r="C1591" s="84" t="s">
        <v>958</v>
      </c>
      <c r="D1591" s="84" t="s">
        <v>1464</v>
      </c>
      <c r="E1591" s="84" t="s">
        <v>1399</v>
      </c>
      <c r="F1591" s="84" t="s">
        <v>1419</v>
      </c>
    </row>
    <row r="1592" spans="1:6" hidden="1" x14ac:dyDescent="0.25">
      <c r="A1592" s="85" t="s">
        <v>833</v>
      </c>
      <c r="B1592" s="85" t="s">
        <v>833</v>
      </c>
      <c r="C1592" s="84" t="s">
        <v>958</v>
      </c>
      <c r="D1592" s="84" t="s">
        <v>1465</v>
      </c>
      <c r="E1592" s="84" t="s">
        <v>1399</v>
      </c>
      <c r="F1592" s="84" t="s">
        <v>1419</v>
      </c>
    </row>
    <row r="1593" spans="1:6" hidden="1" x14ac:dyDescent="0.25">
      <c r="A1593" s="85" t="s">
        <v>835</v>
      </c>
      <c r="B1593" s="85" t="s">
        <v>835</v>
      </c>
      <c r="C1593" s="84" t="s">
        <v>958</v>
      </c>
      <c r="D1593" s="84" t="s">
        <v>1466</v>
      </c>
      <c r="E1593" s="84" t="s">
        <v>1399</v>
      </c>
      <c r="F1593" s="84" t="s">
        <v>1419</v>
      </c>
    </row>
    <row r="1594" spans="1:6" hidden="1" x14ac:dyDescent="0.25">
      <c r="A1594" s="85" t="s">
        <v>637</v>
      </c>
      <c r="B1594" s="85" t="s">
        <v>637</v>
      </c>
      <c r="C1594" s="84" t="s">
        <v>958</v>
      </c>
      <c r="D1594" s="84" t="s">
        <v>640</v>
      </c>
      <c r="E1594" s="84" t="s">
        <v>1399</v>
      </c>
      <c r="F1594" s="84" t="s">
        <v>1419</v>
      </c>
    </row>
    <row r="1595" spans="1:6" hidden="1" x14ac:dyDescent="0.25">
      <c r="A1595" s="85" t="s">
        <v>638</v>
      </c>
      <c r="B1595" s="85" t="s">
        <v>638</v>
      </c>
      <c r="C1595" s="84" t="s">
        <v>958</v>
      </c>
      <c r="D1595" s="84" t="s">
        <v>641</v>
      </c>
      <c r="E1595" s="84" t="s">
        <v>1399</v>
      </c>
      <c r="F1595" s="84" t="s">
        <v>1419</v>
      </c>
    </row>
    <row r="1596" spans="1:6" hidden="1" x14ac:dyDescent="0.25">
      <c r="A1596" s="85" t="s">
        <v>639</v>
      </c>
      <c r="B1596" s="85" t="s">
        <v>639</v>
      </c>
      <c r="C1596" s="84" t="s">
        <v>958</v>
      </c>
      <c r="D1596" s="84" t="s">
        <v>642</v>
      </c>
      <c r="E1596" s="84" t="s">
        <v>1399</v>
      </c>
      <c r="F1596" s="84" t="s">
        <v>1419</v>
      </c>
    </row>
    <row r="1597" spans="1:6" hidden="1" x14ac:dyDescent="0.25">
      <c r="A1597" s="85" t="s">
        <v>3343</v>
      </c>
      <c r="B1597" s="85" t="s">
        <v>3343</v>
      </c>
      <c r="C1597" s="84" t="s">
        <v>958</v>
      </c>
      <c r="D1597" s="84" t="s">
        <v>3344</v>
      </c>
      <c r="E1597" s="84" t="s">
        <v>1399</v>
      </c>
      <c r="F1597" s="84" t="s">
        <v>1419</v>
      </c>
    </row>
    <row r="1598" spans="1:6" hidden="1" x14ac:dyDescent="0.25">
      <c r="A1598" s="85" t="s">
        <v>3345</v>
      </c>
      <c r="B1598" s="85" t="s">
        <v>3345</v>
      </c>
      <c r="C1598" s="84" t="s">
        <v>958</v>
      </c>
      <c r="D1598" s="84" t="s">
        <v>684</v>
      </c>
      <c r="E1598" s="84" t="s">
        <v>1399</v>
      </c>
      <c r="F1598" s="84" t="s">
        <v>1419</v>
      </c>
    </row>
    <row r="1599" spans="1:6" hidden="1" x14ac:dyDescent="0.25">
      <c r="A1599" s="85" t="s">
        <v>3346</v>
      </c>
      <c r="B1599" s="85" t="s">
        <v>3346</v>
      </c>
      <c r="C1599" s="84" t="s">
        <v>958</v>
      </c>
      <c r="D1599" s="84" t="s">
        <v>685</v>
      </c>
      <c r="E1599" s="84" t="s">
        <v>1399</v>
      </c>
      <c r="F1599" s="84" t="s">
        <v>1419</v>
      </c>
    </row>
    <row r="1600" spans="1:6" hidden="1" x14ac:dyDescent="0.25">
      <c r="A1600" s="85" t="s">
        <v>3347</v>
      </c>
      <c r="B1600" s="85" t="s">
        <v>3347</v>
      </c>
      <c r="C1600" s="84" t="s">
        <v>958</v>
      </c>
      <c r="D1600" s="84" t="s">
        <v>686</v>
      </c>
      <c r="E1600" s="84" t="s">
        <v>1399</v>
      </c>
      <c r="F1600" s="84" t="s">
        <v>1419</v>
      </c>
    </row>
    <row r="1601" spans="1:6" hidden="1" x14ac:dyDescent="0.25">
      <c r="A1601" s="85" t="s">
        <v>3348</v>
      </c>
      <c r="B1601" s="85" t="s">
        <v>3348</v>
      </c>
      <c r="C1601" s="84" t="s">
        <v>958</v>
      </c>
      <c r="D1601" s="84" t="s">
        <v>687</v>
      </c>
      <c r="E1601" s="84" t="s">
        <v>1399</v>
      </c>
      <c r="F1601" s="84" t="s">
        <v>1419</v>
      </c>
    </row>
    <row r="1602" spans="1:6" hidden="1" x14ac:dyDescent="0.25">
      <c r="A1602" s="85" t="s">
        <v>3349</v>
      </c>
      <c r="B1602" s="85" t="s">
        <v>3349</v>
      </c>
      <c r="C1602" s="84" t="s">
        <v>958</v>
      </c>
      <c r="D1602" s="84" t="s">
        <v>688</v>
      </c>
      <c r="E1602" s="84" t="s">
        <v>1399</v>
      </c>
      <c r="F1602" s="84" t="s">
        <v>1419</v>
      </c>
    </row>
    <row r="1603" spans="1:6" hidden="1" x14ac:dyDescent="0.25">
      <c r="A1603" s="85">
        <v>92735</v>
      </c>
      <c r="B1603" s="85">
        <v>92735</v>
      </c>
      <c r="C1603" s="84" t="s">
        <v>2888</v>
      </c>
      <c r="D1603" s="84" t="s">
        <v>3350</v>
      </c>
      <c r="E1603" s="84" t="s">
        <v>1399</v>
      </c>
      <c r="F1603" s="84" t="s">
        <v>3351</v>
      </c>
    </row>
    <row r="1604" spans="1:6" hidden="1" x14ac:dyDescent="0.25">
      <c r="A1604" s="85" t="s">
        <v>3352</v>
      </c>
      <c r="B1604" s="85">
        <v>95065</v>
      </c>
      <c r="C1604" s="84" t="s">
        <v>2895</v>
      </c>
      <c r="D1604" s="84" t="s">
        <v>3353</v>
      </c>
      <c r="E1604" s="84" t="s">
        <v>1399</v>
      </c>
      <c r="F1604" s="84" t="s">
        <v>1468</v>
      </c>
    </row>
    <row r="1605" spans="1:6" hidden="1" x14ac:dyDescent="0.25">
      <c r="A1605" s="85">
        <v>82472</v>
      </c>
      <c r="B1605" s="85">
        <v>82472</v>
      </c>
      <c r="C1605" s="84" t="s">
        <v>922</v>
      </c>
      <c r="D1605" s="84" t="s">
        <v>3354</v>
      </c>
      <c r="E1605" s="84" t="s">
        <v>1399</v>
      </c>
      <c r="F1605" s="84" t="s">
        <v>1468</v>
      </c>
    </row>
    <row r="1606" spans="1:6" hidden="1" x14ac:dyDescent="0.25">
      <c r="A1606" s="85" t="s">
        <v>3355</v>
      </c>
      <c r="B1606" s="85" t="s">
        <v>3355</v>
      </c>
      <c r="C1606" s="84" t="s">
        <v>922</v>
      </c>
      <c r="D1606" s="84" t="s">
        <v>3356</v>
      </c>
      <c r="E1606" s="84" t="s">
        <v>1399</v>
      </c>
      <c r="F1606" s="84" t="s">
        <v>1468</v>
      </c>
    </row>
    <row r="1607" spans="1:6" hidden="1" x14ac:dyDescent="0.25">
      <c r="A1607" s="85" t="s">
        <v>3357</v>
      </c>
      <c r="B1607" s="85" t="s">
        <v>3358</v>
      </c>
      <c r="C1607" s="84" t="s">
        <v>922</v>
      </c>
      <c r="D1607" s="84" t="s">
        <v>3359</v>
      </c>
      <c r="E1607" s="84" t="s">
        <v>1399</v>
      </c>
      <c r="F1607" s="84" t="s">
        <v>1468</v>
      </c>
    </row>
    <row r="1608" spans="1:6" hidden="1" x14ac:dyDescent="0.25">
      <c r="A1608" s="85" t="s">
        <v>3360</v>
      </c>
      <c r="B1608" s="85" t="s">
        <v>3361</v>
      </c>
      <c r="C1608" s="84" t="s">
        <v>922</v>
      </c>
      <c r="D1608" s="84" t="s">
        <v>3362</v>
      </c>
      <c r="E1608" s="84" t="s">
        <v>1399</v>
      </c>
      <c r="F1608" s="84" t="s">
        <v>1468</v>
      </c>
    </row>
    <row r="1609" spans="1:6" hidden="1" x14ac:dyDescent="0.25">
      <c r="A1609" s="85" t="s">
        <v>555</v>
      </c>
      <c r="B1609" s="85" t="s">
        <v>3363</v>
      </c>
      <c r="C1609" s="84" t="s">
        <v>922</v>
      </c>
      <c r="D1609" s="84" t="s">
        <v>1467</v>
      </c>
      <c r="E1609" s="84" t="s">
        <v>1399</v>
      </c>
      <c r="F1609" s="84" t="s">
        <v>1468</v>
      </c>
    </row>
    <row r="1610" spans="1:6" hidden="1" x14ac:dyDescent="0.25">
      <c r="A1610" s="85" t="s">
        <v>148</v>
      </c>
      <c r="B1610" s="85" t="s">
        <v>3364</v>
      </c>
      <c r="C1610" s="84" t="s">
        <v>922</v>
      </c>
      <c r="D1610" s="84" t="s">
        <v>1469</v>
      </c>
      <c r="E1610" s="84" t="s">
        <v>1399</v>
      </c>
      <c r="F1610" s="84" t="s">
        <v>1468</v>
      </c>
    </row>
    <row r="1611" spans="1:6" hidden="1" x14ac:dyDescent="0.25">
      <c r="A1611" s="85" t="s">
        <v>149</v>
      </c>
      <c r="B1611" s="85" t="s">
        <v>3365</v>
      </c>
      <c r="C1611" s="84" t="s">
        <v>922</v>
      </c>
      <c r="D1611" s="84" t="s">
        <v>1470</v>
      </c>
      <c r="E1611" s="84" t="s">
        <v>1399</v>
      </c>
      <c r="F1611" s="84" t="s">
        <v>1468</v>
      </c>
    </row>
    <row r="1612" spans="1:6" hidden="1" x14ac:dyDescent="0.25">
      <c r="A1612" s="85" t="s">
        <v>150</v>
      </c>
      <c r="B1612" s="85" t="s">
        <v>3366</v>
      </c>
      <c r="C1612" s="84" t="s">
        <v>922</v>
      </c>
      <c r="D1612" s="84" t="s">
        <v>1471</v>
      </c>
      <c r="E1612" s="84" t="s">
        <v>1399</v>
      </c>
      <c r="F1612" s="84" t="s">
        <v>1468</v>
      </c>
    </row>
    <row r="1613" spans="1:6" hidden="1" x14ac:dyDescent="0.25">
      <c r="A1613" s="85" t="s">
        <v>151</v>
      </c>
      <c r="B1613" s="85" t="s">
        <v>3367</v>
      </c>
      <c r="C1613" s="84" t="s">
        <v>922</v>
      </c>
      <c r="D1613" s="84" t="s">
        <v>1472</v>
      </c>
      <c r="E1613" s="84" t="s">
        <v>1399</v>
      </c>
      <c r="F1613" s="84" t="s">
        <v>1468</v>
      </c>
    </row>
    <row r="1614" spans="1:6" hidden="1" x14ac:dyDescent="0.25">
      <c r="A1614" s="85" t="s">
        <v>3368</v>
      </c>
      <c r="B1614" s="85" t="s">
        <v>3368</v>
      </c>
      <c r="C1614" s="84" t="s">
        <v>922</v>
      </c>
      <c r="D1614" s="84" t="s">
        <v>1467</v>
      </c>
      <c r="E1614" s="84" t="s">
        <v>1399</v>
      </c>
      <c r="F1614" s="84" t="s">
        <v>1468</v>
      </c>
    </row>
    <row r="1615" spans="1:6" hidden="1" x14ac:dyDescent="0.25">
      <c r="A1615" s="85" t="s">
        <v>3369</v>
      </c>
      <c r="B1615" s="85" t="s">
        <v>3369</v>
      </c>
      <c r="C1615" s="84" t="s">
        <v>922</v>
      </c>
      <c r="D1615" s="84" t="s">
        <v>1469</v>
      </c>
      <c r="E1615" s="84" t="s">
        <v>1399</v>
      </c>
      <c r="F1615" s="84" t="s">
        <v>1468</v>
      </c>
    </row>
    <row r="1616" spans="1:6" hidden="1" x14ac:dyDescent="0.25">
      <c r="A1616" s="85" t="s">
        <v>3370</v>
      </c>
      <c r="B1616" s="85" t="s">
        <v>3370</v>
      </c>
      <c r="C1616" s="84" t="s">
        <v>922</v>
      </c>
      <c r="D1616" s="84" t="s">
        <v>1470</v>
      </c>
      <c r="E1616" s="84" t="s">
        <v>1399</v>
      </c>
      <c r="F1616" s="84" t="s">
        <v>1468</v>
      </c>
    </row>
    <row r="1617" spans="1:6" hidden="1" x14ac:dyDescent="0.25">
      <c r="A1617" s="85" t="s">
        <v>3371</v>
      </c>
      <c r="B1617" s="85" t="s">
        <v>3371</v>
      </c>
      <c r="C1617" s="84" t="s">
        <v>922</v>
      </c>
      <c r="D1617" s="84" t="s">
        <v>1471</v>
      </c>
      <c r="E1617" s="84" t="s">
        <v>1399</v>
      </c>
      <c r="F1617" s="84" t="s">
        <v>1468</v>
      </c>
    </row>
    <row r="1618" spans="1:6" hidden="1" x14ac:dyDescent="0.25">
      <c r="A1618" s="85" t="s">
        <v>3372</v>
      </c>
      <c r="B1618" s="85" t="s">
        <v>3372</v>
      </c>
      <c r="C1618" s="84" t="s">
        <v>922</v>
      </c>
      <c r="D1618" s="84" t="s">
        <v>1472</v>
      </c>
      <c r="E1618" s="84" t="s">
        <v>1399</v>
      </c>
      <c r="F1618" s="84" t="s">
        <v>1468</v>
      </c>
    </row>
    <row r="1619" spans="1:6" hidden="1" x14ac:dyDescent="0.25">
      <c r="A1619" s="85">
        <v>92194</v>
      </c>
      <c r="B1619" s="85">
        <v>92194</v>
      </c>
      <c r="C1619" s="84" t="s">
        <v>2888</v>
      </c>
      <c r="D1619" s="84" t="s">
        <v>3373</v>
      </c>
      <c r="E1619" s="84" t="s">
        <v>1399</v>
      </c>
      <c r="F1619" s="84" t="s">
        <v>1468</v>
      </c>
    </row>
    <row r="1620" spans="1:6" hidden="1" x14ac:dyDescent="0.25">
      <c r="A1620" s="85" t="s">
        <v>577</v>
      </c>
      <c r="B1620" s="85" t="s">
        <v>577</v>
      </c>
      <c r="C1620" s="84" t="s">
        <v>958</v>
      </c>
      <c r="D1620" s="84" t="s">
        <v>578</v>
      </c>
      <c r="E1620" s="84" t="s">
        <v>1399</v>
      </c>
      <c r="F1620" s="84" t="s">
        <v>1468</v>
      </c>
    </row>
    <row r="1621" spans="1:6" hidden="1" x14ac:dyDescent="0.25">
      <c r="A1621" s="85" t="s">
        <v>92</v>
      </c>
      <c r="B1621" s="85" t="s">
        <v>92</v>
      </c>
      <c r="C1621" s="84" t="s">
        <v>958</v>
      </c>
      <c r="D1621" s="84" t="s">
        <v>1473</v>
      </c>
      <c r="E1621" s="84" t="s">
        <v>1399</v>
      </c>
      <c r="F1621" s="84" t="s">
        <v>1468</v>
      </c>
    </row>
    <row r="1622" spans="1:6" hidden="1" x14ac:dyDescent="0.25">
      <c r="A1622" s="85" t="s">
        <v>3374</v>
      </c>
      <c r="B1622" s="85" t="s">
        <v>3374</v>
      </c>
      <c r="C1622" s="84" t="s">
        <v>958</v>
      </c>
      <c r="D1622" s="84" t="s">
        <v>3375</v>
      </c>
      <c r="E1622" s="84" t="s">
        <v>1399</v>
      </c>
      <c r="F1622" s="84" t="s">
        <v>1468</v>
      </c>
    </row>
    <row r="1623" spans="1:6" hidden="1" x14ac:dyDescent="0.25">
      <c r="A1623" s="85" t="s">
        <v>93</v>
      </c>
      <c r="B1623" s="85" t="s">
        <v>93</v>
      </c>
      <c r="C1623" s="84" t="s">
        <v>958</v>
      </c>
      <c r="D1623" s="84" t="s">
        <v>711</v>
      </c>
      <c r="E1623" s="84" t="s">
        <v>1399</v>
      </c>
      <c r="F1623" s="84" t="s">
        <v>1468</v>
      </c>
    </row>
    <row r="1624" spans="1:6" hidden="1" x14ac:dyDescent="0.25">
      <c r="A1624" s="85" t="s">
        <v>94</v>
      </c>
      <c r="B1624" s="85" t="s">
        <v>94</v>
      </c>
      <c r="C1624" s="84" t="s">
        <v>958</v>
      </c>
      <c r="D1624" s="84" t="s">
        <v>712</v>
      </c>
      <c r="E1624" s="84" t="s">
        <v>1399</v>
      </c>
      <c r="F1624" s="84" t="s">
        <v>1468</v>
      </c>
    </row>
    <row r="1625" spans="1:6" hidden="1" x14ac:dyDescent="0.25">
      <c r="A1625" s="85" t="s">
        <v>95</v>
      </c>
      <c r="B1625" s="85" t="s">
        <v>95</v>
      </c>
      <c r="C1625" s="84" t="s">
        <v>958</v>
      </c>
      <c r="D1625" s="84" t="s">
        <v>713</v>
      </c>
      <c r="E1625" s="84" t="s">
        <v>1399</v>
      </c>
      <c r="F1625" s="84" t="s">
        <v>1468</v>
      </c>
    </row>
    <row r="1626" spans="1:6" hidden="1" x14ac:dyDescent="0.25">
      <c r="A1626" s="85" t="s">
        <v>3376</v>
      </c>
      <c r="B1626" s="85">
        <v>95041</v>
      </c>
      <c r="C1626" s="84" t="s">
        <v>2895</v>
      </c>
      <c r="D1626" s="84" t="s">
        <v>3377</v>
      </c>
      <c r="E1626" s="84" t="s">
        <v>1399</v>
      </c>
      <c r="F1626" s="84" t="s">
        <v>1477</v>
      </c>
    </row>
    <row r="1627" spans="1:6" hidden="1" x14ac:dyDescent="0.25">
      <c r="A1627" s="85" t="s">
        <v>3378</v>
      </c>
      <c r="B1627" s="85" t="s">
        <v>3378</v>
      </c>
      <c r="C1627" s="84" t="s">
        <v>922</v>
      </c>
      <c r="D1627" s="84" t="s">
        <v>3379</v>
      </c>
      <c r="E1627" s="84" t="s">
        <v>1399</v>
      </c>
      <c r="F1627" s="84" t="s">
        <v>1477</v>
      </c>
    </row>
    <row r="1628" spans="1:6" hidden="1" x14ac:dyDescent="0.25">
      <c r="A1628" s="85" t="s">
        <v>153</v>
      </c>
      <c r="B1628" s="85" t="s">
        <v>3380</v>
      </c>
      <c r="C1628" s="84" t="s">
        <v>922</v>
      </c>
      <c r="D1628" s="84" t="s">
        <v>1476</v>
      </c>
      <c r="E1628" s="84" t="s">
        <v>1399</v>
      </c>
      <c r="F1628" s="84" t="s">
        <v>1477</v>
      </c>
    </row>
    <row r="1629" spans="1:6" hidden="1" x14ac:dyDescent="0.25">
      <c r="A1629" s="85" t="s">
        <v>154</v>
      </c>
      <c r="B1629" s="85" t="s">
        <v>3381</v>
      </c>
      <c r="C1629" s="84" t="s">
        <v>922</v>
      </c>
      <c r="D1629" s="84" t="s">
        <v>1478</v>
      </c>
      <c r="E1629" s="84" t="s">
        <v>1399</v>
      </c>
      <c r="F1629" s="84" t="s">
        <v>1477</v>
      </c>
    </row>
    <row r="1630" spans="1:6" hidden="1" x14ac:dyDescent="0.25">
      <c r="A1630" s="85" t="s">
        <v>155</v>
      </c>
      <c r="B1630" s="85" t="s">
        <v>3382</v>
      </c>
      <c r="C1630" s="84" t="s">
        <v>922</v>
      </c>
      <c r="D1630" s="84" t="s">
        <v>1479</v>
      </c>
      <c r="E1630" s="84" t="s">
        <v>1399</v>
      </c>
      <c r="F1630" s="84" t="s">
        <v>1477</v>
      </c>
    </row>
    <row r="1631" spans="1:6" hidden="1" x14ac:dyDescent="0.25">
      <c r="A1631" s="85" t="s">
        <v>3383</v>
      </c>
      <c r="B1631" s="85" t="s">
        <v>3384</v>
      </c>
      <c r="C1631" s="84" t="s">
        <v>922</v>
      </c>
      <c r="D1631" s="84" t="s">
        <v>3385</v>
      </c>
      <c r="E1631" s="84" t="s">
        <v>1399</v>
      </c>
      <c r="F1631" s="84" t="s">
        <v>1477</v>
      </c>
    </row>
    <row r="1632" spans="1:6" hidden="1" x14ac:dyDescent="0.25">
      <c r="A1632" s="85" t="s">
        <v>3386</v>
      </c>
      <c r="B1632" s="85" t="s">
        <v>3387</v>
      </c>
      <c r="C1632" s="84" t="s">
        <v>922</v>
      </c>
      <c r="D1632" s="84" t="s">
        <v>3388</v>
      </c>
      <c r="E1632" s="84" t="s">
        <v>1399</v>
      </c>
      <c r="F1632" s="84" t="s">
        <v>1477</v>
      </c>
    </row>
    <row r="1633" spans="1:6" hidden="1" x14ac:dyDescent="0.25">
      <c r="A1633" s="85" t="s">
        <v>3389</v>
      </c>
      <c r="B1633" s="85" t="s">
        <v>3390</v>
      </c>
      <c r="C1633" s="84" t="s">
        <v>922</v>
      </c>
      <c r="D1633" s="84" t="s">
        <v>3391</v>
      </c>
      <c r="E1633" s="84" t="s">
        <v>1399</v>
      </c>
      <c r="F1633" s="84" t="s">
        <v>1477</v>
      </c>
    </row>
    <row r="1634" spans="1:6" hidden="1" x14ac:dyDescent="0.25">
      <c r="A1634" s="85">
        <v>92492</v>
      </c>
      <c r="B1634" s="85">
        <v>92492</v>
      </c>
      <c r="C1634" s="84" t="s">
        <v>2888</v>
      </c>
      <c r="D1634" s="84" t="s">
        <v>3392</v>
      </c>
      <c r="E1634" s="84" t="s">
        <v>1399</v>
      </c>
      <c r="F1634" s="84" t="s">
        <v>1477</v>
      </c>
    </row>
    <row r="1635" spans="1:6" hidden="1" x14ac:dyDescent="0.25">
      <c r="A1635" s="85">
        <v>92512</v>
      </c>
      <c r="B1635" s="85">
        <v>92512</v>
      </c>
      <c r="C1635" s="84" t="s">
        <v>2888</v>
      </c>
      <c r="D1635" s="84" t="s">
        <v>3393</v>
      </c>
      <c r="E1635" s="84" t="s">
        <v>1399</v>
      </c>
      <c r="F1635" s="84" t="s">
        <v>1477</v>
      </c>
    </row>
    <row r="1636" spans="1:6" hidden="1" x14ac:dyDescent="0.25">
      <c r="A1636" s="85" t="s">
        <v>100</v>
      </c>
      <c r="B1636" s="85" t="s">
        <v>100</v>
      </c>
      <c r="C1636" s="84" t="s">
        <v>958</v>
      </c>
      <c r="D1636" s="84" t="s">
        <v>1480</v>
      </c>
      <c r="E1636" s="84" t="s">
        <v>1399</v>
      </c>
      <c r="F1636" s="84" t="s">
        <v>1477</v>
      </c>
    </row>
    <row r="1637" spans="1:6" hidden="1" x14ac:dyDescent="0.25">
      <c r="A1637" s="85" t="s">
        <v>101</v>
      </c>
      <c r="B1637" s="85" t="s">
        <v>101</v>
      </c>
      <c r="C1637" s="84" t="s">
        <v>958</v>
      </c>
      <c r="D1637" s="84" t="s">
        <v>1481</v>
      </c>
      <c r="E1637" s="84" t="s">
        <v>1399</v>
      </c>
      <c r="F1637" s="84" t="s">
        <v>1477</v>
      </c>
    </row>
    <row r="1638" spans="1:6" hidden="1" x14ac:dyDescent="0.25">
      <c r="A1638" s="85" t="s">
        <v>3394</v>
      </c>
      <c r="B1638" s="85" t="s">
        <v>3394</v>
      </c>
      <c r="C1638" s="84" t="s">
        <v>958</v>
      </c>
      <c r="D1638" s="84" t="s">
        <v>3395</v>
      </c>
      <c r="E1638" s="84" t="s">
        <v>1399</v>
      </c>
      <c r="F1638" s="84" t="s">
        <v>1477</v>
      </c>
    </row>
    <row r="1639" spans="1:6" hidden="1" x14ac:dyDescent="0.25">
      <c r="A1639" s="85" t="s">
        <v>102</v>
      </c>
      <c r="B1639" s="85" t="s">
        <v>102</v>
      </c>
      <c r="C1639" s="84" t="s">
        <v>958</v>
      </c>
      <c r="D1639" s="84" t="s">
        <v>1482</v>
      </c>
      <c r="E1639" s="84" t="s">
        <v>1399</v>
      </c>
      <c r="F1639" s="84" t="s">
        <v>1477</v>
      </c>
    </row>
    <row r="1640" spans="1:6" hidden="1" x14ac:dyDescent="0.25">
      <c r="A1640" s="85" t="s">
        <v>3396</v>
      </c>
      <c r="B1640" s="85" t="s">
        <v>3396</v>
      </c>
      <c r="C1640" s="84" t="s">
        <v>958</v>
      </c>
      <c r="D1640" s="84" t="s">
        <v>3397</v>
      </c>
      <c r="E1640" s="84" t="s">
        <v>1399</v>
      </c>
      <c r="F1640" s="84" t="s">
        <v>1477</v>
      </c>
    </row>
    <row r="1641" spans="1:6" hidden="1" x14ac:dyDescent="0.25">
      <c r="A1641" s="85" t="s">
        <v>3398</v>
      </c>
      <c r="B1641" s="85" t="s">
        <v>3398</v>
      </c>
      <c r="C1641" s="84" t="s">
        <v>958</v>
      </c>
      <c r="D1641" s="84" t="s">
        <v>3399</v>
      </c>
      <c r="E1641" s="84" t="s">
        <v>1399</v>
      </c>
      <c r="F1641" s="84" t="s">
        <v>1477</v>
      </c>
    </row>
    <row r="1642" spans="1:6" hidden="1" x14ac:dyDescent="0.25">
      <c r="A1642" s="85" t="s">
        <v>1483</v>
      </c>
      <c r="B1642" s="85" t="s">
        <v>1483</v>
      </c>
      <c r="C1642" s="84" t="s">
        <v>958</v>
      </c>
      <c r="D1642" s="84" t="s">
        <v>1484</v>
      </c>
      <c r="E1642" s="84" t="s">
        <v>1399</v>
      </c>
      <c r="F1642" s="84" t="s">
        <v>1477</v>
      </c>
    </row>
    <row r="1643" spans="1:6" hidden="1" x14ac:dyDescent="0.25">
      <c r="A1643" s="85" t="s">
        <v>3400</v>
      </c>
      <c r="B1643" s="85" t="s">
        <v>3400</v>
      </c>
      <c r="C1643" s="84" t="s">
        <v>958</v>
      </c>
      <c r="D1643" s="84" t="s">
        <v>3401</v>
      </c>
      <c r="E1643" s="84" t="s">
        <v>1399</v>
      </c>
      <c r="F1643" s="84" t="s">
        <v>1477</v>
      </c>
    </row>
    <row r="1644" spans="1:6" hidden="1" x14ac:dyDescent="0.25">
      <c r="A1644" s="85" t="s">
        <v>98</v>
      </c>
      <c r="B1644" s="85" t="s">
        <v>98</v>
      </c>
      <c r="C1644" s="84" t="s">
        <v>958</v>
      </c>
      <c r="D1644" s="84" t="s">
        <v>716</v>
      </c>
      <c r="E1644" s="84" t="s">
        <v>1399</v>
      </c>
      <c r="F1644" s="84" t="s">
        <v>1485</v>
      </c>
    </row>
    <row r="1645" spans="1:6" hidden="1" x14ac:dyDescent="0.25">
      <c r="A1645" s="85" t="s">
        <v>3402</v>
      </c>
      <c r="B1645" s="85" t="s">
        <v>3402</v>
      </c>
      <c r="C1645" s="84" t="s">
        <v>922</v>
      </c>
      <c r="D1645" s="84" t="s">
        <v>3403</v>
      </c>
      <c r="E1645" s="84" t="s">
        <v>1399</v>
      </c>
      <c r="F1645" s="84" t="s">
        <v>1043</v>
      </c>
    </row>
    <row r="1646" spans="1:6" hidden="1" x14ac:dyDescent="0.25">
      <c r="A1646" s="85" t="s">
        <v>3404</v>
      </c>
      <c r="B1646" s="85">
        <v>1600</v>
      </c>
      <c r="C1646" s="84" t="s">
        <v>922</v>
      </c>
      <c r="D1646" s="84" t="s">
        <v>3405</v>
      </c>
      <c r="E1646" s="84" t="s">
        <v>1399</v>
      </c>
      <c r="F1646" s="84" t="s">
        <v>1043</v>
      </c>
    </row>
    <row r="1647" spans="1:6" hidden="1" x14ac:dyDescent="0.25">
      <c r="A1647" s="85" t="s">
        <v>795</v>
      </c>
      <c r="B1647" s="85" t="s">
        <v>3402</v>
      </c>
      <c r="C1647" s="84" t="s">
        <v>922</v>
      </c>
      <c r="D1647" s="84" t="s">
        <v>3403</v>
      </c>
      <c r="E1647" s="84" t="s">
        <v>1399</v>
      </c>
      <c r="F1647" s="84" t="s">
        <v>1043</v>
      </c>
    </row>
    <row r="1648" spans="1:6" hidden="1" x14ac:dyDescent="0.25">
      <c r="A1648" s="85" t="s">
        <v>3406</v>
      </c>
      <c r="B1648" s="85" t="s">
        <v>3406</v>
      </c>
      <c r="C1648" s="84" t="s">
        <v>958</v>
      </c>
      <c r="D1648" s="84" t="s">
        <v>3407</v>
      </c>
      <c r="E1648" s="84" t="s">
        <v>1399</v>
      </c>
      <c r="F1648" s="84" t="s">
        <v>1043</v>
      </c>
    </row>
    <row r="1649" spans="1:6" hidden="1" x14ac:dyDescent="0.25">
      <c r="A1649" s="85">
        <v>92785</v>
      </c>
      <c r="B1649" s="85">
        <v>92785</v>
      </c>
      <c r="C1649" s="84" t="s">
        <v>2888</v>
      </c>
      <c r="D1649" s="84" t="s">
        <v>3408</v>
      </c>
      <c r="E1649" s="84" t="s">
        <v>1399</v>
      </c>
      <c r="F1649" s="84" t="s">
        <v>3409</v>
      </c>
    </row>
    <row r="1650" spans="1:6" hidden="1" x14ac:dyDescent="0.25">
      <c r="A1650" s="85">
        <v>92572</v>
      </c>
      <c r="B1650" s="85">
        <v>92572</v>
      </c>
      <c r="C1650" s="84" t="s">
        <v>357</v>
      </c>
      <c r="D1650" s="84" t="s">
        <v>3410</v>
      </c>
      <c r="E1650" s="84" t="s">
        <v>1399</v>
      </c>
      <c r="F1650" s="84" t="s">
        <v>1488</v>
      </c>
    </row>
    <row r="1651" spans="1:6" hidden="1" x14ac:dyDescent="0.25">
      <c r="A1651" s="85" t="s">
        <v>1486</v>
      </c>
      <c r="B1651" s="85" t="s">
        <v>3411</v>
      </c>
      <c r="C1651" s="84" t="s">
        <v>922</v>
      </c>
      <c r="D1651" s="84" t="s">
        <v>1487</v>
      </c>
      <c r="E1651" s="84" t="s">
        <v>1399</v>
      </c>
      <c r="F1651" s="84" t="s">
        <v>1488</v>
      </c>
    </row>
    <row r="1652" spans="1:6" hidden="1" x14ac:dyDescent="0.25">
      <c r="A1652" s="85">
        <v>92705</v>
      </c>
      <c r="B1652" s="85">
        <v>92705</v>
      </c>
      <c r="C1652" s="84" t="s">
        <v>2888</v>
      </c>
      <c r="D1652" s="84" t="s">
        <v>3412</v>
      </c>
      <c r="E1652" s="84" t="s">
        <v>1399</v>
      </c>
      <c r="F1652" s="84" t="s">
        <v>1488</v>
      </c>
    </row>
    <row r="1653" spans="1:6" hidden="1" x14ac:dyDescent="0.25">
      <c r="A1653" s="85" t="s">
        <v>1489</v>
      </c>
      <c r="B1653" s="85" t="s">
        <v>1489</v>
      </c>
      <c r="C1653" s="84" t="s">
        <v>958</v>
      </c>
      <c r="D1653" s="84" t="s">
        <v>1490</v>
      </c>
      <c r="E1653" s="84" t="s">
        <v>1399</v>
      </c>
      <c r="F1653" s="84" t="s">
        <v>1488</v>
      </c>
    </row>
    <row r="1654" spans="1:6" hidden="1" x14ac:dyDescent="0.25">
      <c r="A1654" s="85" t="s">
        <v>1491</v>
      </c>
      <c r="B1654" s="85" t="s">
        <v>1491</v>
      </c>
      <c r="C1654" s="84" t="s">
        <v>958</v>
      </c>
      <c r="D1654" s="84" t="s">
        <v>1492</v>
      </c>
      <c r="E1654" s="84" t="s">
        <v>1399</v>
      </c>
      <c r="F1654" s="84" t="s">
        <v>1488</v>
      </c>
    </row>
    <row r="1655" spans="1:6" hidden="1" x14ac:dyDescent="0.25">
      <c r="A1655" s="85" t="s">
        <v>1493</v>
      </c>
      <c r="B1655" s="85" t="s">
        <v>3413</v>
      </c>
      <c r="C1655" s="84" t="s">
        <v>922</v>
      </c>
      <c r="D1655" s="84" t="s">
        <v>1494</v>
      </c>
      <c r="E1655" s="84" t="s">
        <v>1399</v>
      </c>
      <c r="F1655" s="84" t="s">
        <v>1495</v>
      </c>
    </row>
    <row r="1656" spans="1:6" hidden="1" x14ac:dyDescent="0.25">
      <c r="A1656" s="85" t="s">
        <v>1496</v>
      </c>
      <c r="B1656" s="85" t="s">
        <v>3414</v>
      </c>
      <c r="C1656" s="84" t="s">
        <v>922</v>
      </c>
      <c r="D1656" s="84" t="s">
        <v>1497</v>
      </c>
      <c r="E1656" s="84" t="s">
        <v>1399</v>
      </c>
      <c r="F1656" s="84" t="s">
        <v>1495</v>
      </c>
    </row>
    <row r="1657" spans="1:6" hidden="1" x14ac:dyDescent="0.25">
      <c r="A1657" s="85">
        <v>92300</v>
      </c>
      <c r="B1657" s="85">
        <v>92300</v>
      </c>
      <c r="C1657" s="84" t="s">
        <v>2888</v>
      </c>
      <c r="D1657" s="84" t="s">
        <v>3415</v>
      </c>
      <c r="E1657" s="84" t="s">
        <v>1399</v>
      </c>
      <c r="F1657" s="84" t="s">
        <v>1495</v>
      </c>
    </row>
    <row r="1658" spans="1:6" hidden="1" x14ac:dyDescent="0.25">
      <c r="A1658" s="85">
        <v>92301</v>
      </c>
      <c r="B1658" s="85">
        <v>92301</v>
      </c>
      <c r="C1658" s="84" t="s">
        <v>2888</v>
      </c>
      <c r="D1658" s="84" t="s">
        <v>3416</v>
      </c>
      <c r="E1658" s="84" t="s">
        <v>1399</v>
      </c>
      <c r="F1658" s="84" t="s">
        <v>1495</v>
      </c>
    </row>
    <row r="1659" spans="1:6" hidden="1" x14ac:dyDescent="0.25">
      <c r="A1659" s="85" t="s">
        <v>1498</v>
      </c>
      <c r="B1659" s="85" t="s">
        <v>1498</v>
      </c>
      <c r="C1659" s="84" t="s">
        <v>958</v>
      </c>
      <c r="D1659" s="84" t="s">
        <v>1499</v>
      </c>
      <c r="E1659" s="84" t="s">
        <v>1399</v>
      </c>
      <c r="F1659" s="84" t="s">
        <v>1495</v>
      </c>
    </row>
    <row r="1660" spans="1:6" hidden="1" x14ac:dyDescent="0.25">
      <c r="A1660" s="85" t="s">
        <v>1500</v>
      </c>
      <c r="B1660" s="85" t="s">
        <v>1500</v>
      </c>
      <c r="C1660" s="84" t="s">
        <v>958</v>
      </c>
      <c r="D1660" s="84" t="s">
        <v>1501</v>
      </c>
      <c r="E1660" s="84" t="s">
        <v>1399</v>
      </c>
      <c r="F1660" s="84" t="s">
        <v>1495</v>
      </c>
    </row>
    <row r="1661" spans="1:6" hidden="1" x14ac:dyDescent="0.25">
      <c r="A1661" s="85" t="s">
        <v>1502</v>
      </c>
      <c r="B1661" s="85" t="s">
        <v>1502</v>
      </c>
      <c r="C1661" s="84" t="s">
        <v>958</v>
      </c>
      <c r="D1661" s="84" t="s">
        <v>1503</v>
      </c>
      <c r="E1661" s="84" t="s">
        <v>1399</v>
      </c>
      <c r="F1661" s="84" t="s">
        <v>1495</v>
      </c>
    </row>
    <row r="1662" spans="1:6" hidden="1" x14ac:dyDescent="0.25">
      <c r="A1662" s="85" t="s">
        <v>1504</v>
      </c>
      <c r="B1662" s="85" t="s">
        <v>1504</v>
      </c>
      <c r="C1662" s="84" t="s">
        <v>958</v>
      </c>
      <c r="D1662" s="84" t="s">
        <v>1505</v>
      </c>
      <c r="E1662" s="84" t="s">
        <v>1399</v>
      </c>
      <c r="F1662" s="84" t="s">
        <v>1495</v>
      </c>
    </row>
    <row r="1663" spans="1:6" hidden="1" x14ac:dyDescent="0.25">
      <c r="A1663" s="85" t="s">
        <v>1506</v>
      </c>
      <c r="B1663" s="85" t="s">
        <v>1506</v>
      </c>
      <c r="C1663" s="84" t="s">
        <v>958</v>
      </c>
      <c r="D1663" s="84" t="s">
        <v>1507</v>
      </c>
      <c r="E1663" s="84" t="s">
        <v>1399</v>
      </c>
      <c r="F1663" s="84" t="s">
        <v>1495</v>
      </c>
    </row>
    <row r="1664" spans="1:6" hidden="1" x14ac:dyDescent="0.25">
      <c r="A1664" s="85" t="s">
        <v>1508</v>
      </c>
      <c r="B1664" s="85" t="s">
        <v>1508</v>
      </c>
      <c r="C1664" s="84" t="s">
        <v>958</v>
      </c>
      <c r="D1664" s="84" t="s">
        <v>1509</v>
      </c>
      <c r="E1664" s="84" t="s">
        <v>1399</v>
      </c>
      <c r="F1664" s="84" t="s">
        <v>1495</v>
      </c>
    </row>
    <row r="1665" spans="1:6" hidden="1" x14ac:dyDescent="0.25">
      <c r="A1665" s="85" t="s">
        <v>1510</v>
      </c>
      <c r="B1665" s="85" t="s">
        <v>1510</v>
      </c>
      <c r="C1665" s="84" t="s">
        <v>958</v>
      </c>
      <c r="D1665" s="84" t="s">
        <v>1511</v>
      </c>
      <c r="E1665" s="84" t="s">
        <v>1399</v>
      </c>
      <c r="F1665" s="84" t="s">
        <v>1495</v>
      </c>
    </row>
    <row r="1666" spans="1:6" hidden="1" x14ac:dyDescent="0.25">
      <c r="A1666" s="85" t="s">
        <v>1512</v>
      </c>
      <c r="B1666" s="85" t="s">
        <v>1512</v>
      </c>
      <c r="C1666" s="84" t="s">
        <v>958</v>
      </c>
      <c r="D1666" s="84" t="s">
        <v>1513</v>
      </c>
      <c r="E1666" s="84" t="s">
        <v>1399</v>
      </c>
      <c r="F1666" s="84" t="s">
        <v>1495</v>
      </c>
    </row>
    <row r="1667" spans="1:6" hidden="1" x14ac:dyDescent="0.25">
      <c r="A1667" s="85" t="s">
        <v>1514</v>
      </c>
      <c r="B1667" s="85" t="s">
        <v>1514</v>
      </c>
      <c r="C1667" s="84" t="s">
        <v>958</v>
      </c>
      <c r="D1667" s="84" t="s">
        <v>1515</v>
      </c>
      <c r="E1667" s="84" t="s">
        <v>1399</v>
      </c>
      <c r="F1667" s="84" t="s">
        <v>1495</v>
      </c>
    </row>
    <row r="1668" spans="1:6" hidden="1" x14ac:dyDescent="0.25">
      <c r="A1668" s="85" t="s">
        <v>1516</v>
      </c>
      <c r="B1668" s="85" t="s">
        <v>1516</v>
      </c>
      <c r="C1668" s="84" t="s">
        <v>958</v>
      </c>
      <c r="D1668" s="84" t="s">
        <v>1517</v>
      </c>
      <c r="E1668" s="84" t="s">
        <v>1399</v>
      </c>
      <c r="F1668" s="84" t="s">
        <v>1495</v>
      </c>
    </row>
    <row r="1669" spans="1:6" hidden="1" x14ac:dyDescent="0.25">
      <c r="A1669" s="85" t="s">
        <v>771</v>
      </c>
      <c r="B1669" s="85" t="s">
        <v>771</v>
      </c>
      <c r="C1669" s="84" t="s">
        <v>958</v>
      </c>
      <c r="D1669" s="84" t="s">
        <v>772</v>
      </c>
      <c r="E1669" s="84" t="s">
        <v>1399</v>
      </c>
      <c r="F1669" s="84" t="s">
        <v>1495</v>
      </c>
    </row>
    <row r="1670" spans="1:6" hidden="1" x14ac:dyDescent="0.25">
      <c r="A1670" s="85" t="s">
        <v>773</v>
      </c>
      <c r="B1670" s="85" t="s">
        <v>773</v>
      </c>
      <c r="C1670" s="84" t="s">
        <v>958</v>
      </c>
      <c r="D1670" s="84" t="s">
        <v>774</v>
      </c>
      <c r="E1670" s="84" t="s">
        <v>1399</v>
      </c>
      <c r="F1670" s="84" t="s">
        <v>1495</v>
      </c>
    </row>
    <row r="1671" spans="1:6" hidden="1" x14ac:dyDescent="0.25">
      <c r="A1671" s="85" t="s">
        <v>1518</v>
      </c>
      <c r="B1671" s="85" t="s">
        <v>1518</v>
      </c>
      <c r="C1671" s="84" t="s">
        <v>958</v>
      </c>
      <c r="D1671" s="84" t="s">
        <v>1519</v>
      </c>
      <c r="E1671" s="84" t="s">
        <v>1399</v>
      </c>
      <c r="F1671" s="84" t="s">
        <v>1495</v>
      </c>
    </row>
    <row r="1672" spans="1:6" hidden="1" x14ac:dyDescent="0.25">
      <c r="A1672" s="85" t="s">
        <v>1520</v>
      </c>
      <c r="B1672" s="85" t="s">
        <v>1520</v>
      </c>
      <c r="C1672" s="84" t="s">
        <v>958</v>
      </c>
      <c r="D1672" s="84" t="s">
        <v>1521</v>
      </c>
      <c r="E1672" s="84" t="s">
        <v>1399</v>
      </c>
      <c r="F1672" s="84" t="s">
        <v>1495</v>
      </c>
    </row>
    <row r="1673" spans="1:6" hidden="1" x14ac:dyDescent="0.25">
      <c r="A1673" s="85" t="s">
        <v>775</v>
      </c>
      <c r="B1673" s="85" t="s">
        <v>775</v>
      </c>
      <c r="C1673" s="84" t="s">
        <v>958</v>
      </c>
      <c r="D1673" s="84" t="s">
        <v>776</v>
      </c>
      <c r="E1673" s="84" t="s">
        <v>1399</v>
      </c>
      <c r="F1673" s="84" t="s">
        <v>1495</v>
      </c>
    </row>
    <row r="1674" spans="1:6" hidden="1" x14ac:dyDescent="0.25">
      <c r="A1674" s="85" t="s">
        <v>777</v>
      </c>
      <c r="B1674" s="85" t="s">
        <v>777</v>
      </c>
      <c r="C1674" s="84" t="s">
        <v>958</v>
      </c>
      <c r="D1674" s="84" t="s">
        <v>778</v>
      </c>
      <c r="E1674" s="84" t="s">
        <v>1399</v>
      </c>
      <c r="F1674" s="84" t="s">
        <v>1495</v>
      </c>
    </row>
    <row r="1675" spans="1:6" hidden="1" x14ac:dyDescent="0.25">
      <c r="A1675" s="85">
        <v>92562</v>
      </c>
      <c r="B1675" s="85">
        <v>92562</v>
      </c>
      <c r="C1675" s="84" t="s">
        <v>357</v>
      </c>
      <c r="D1675" s="84" t="s">
        <v>3417</v>
      </c>
      <c r="E1675" s="84" t="s">
        <v>1399</v>
      </c>
      <c r="F1675" s="84" t="s">
        <v>1524</v>
      </c>
    </row>
    <row r="1676" spans="1:6" hidden="1" x14ac:dyDescent="0.25">
      <c r="A1676" s="85">
        <v>92582</v>
      </c>
      <c r="B1676" s="85">
        <v>92582</v>
      </c>
      <c r="C1676" s="84" t="s">
        <v>357</v>
      </c>
      <c r="D1676" s="84" t="s">
        <v>3418</v>
      </c>
      <c r="E1676" s="84" t="s">
        <v>1399</v>
      </c>
      <c r="F1676" s="84" t="s">
        <v>1524</v>
      </c>
    </row>
    <row r="1677" spans="1:6" hidden="1" x14ac:dyDescent="0.25">
      <c r="A1677" s="85">
        <v>92587</v>
      </c>
      <c r="B1677" s="85">
        <v>92587</v>
      </c>
      <c r="C1677" s="84" t="s">
        <v>357</v>
      </c>
      <c r="D1677" s="84" t="s">
        <v>3419</v>
      </c>
      <c r="E1677" s="84" t="s">
        <v>1399</v>
      </c>
      <c r="F1677" s="84" t="s">
        <v>1524</v>
      </c>
    </row>
    <row r="1678" spans="1:6" hidden="1" x14ac:dyDescent="0.25">
      <c r="A1678" s="85">
        <v>92592</v>
      </c>
      <c r="B1678" s="85">
        <v>92592</v>
      </c>
      <c r="C1678" s="84" t="s">
        <v>357</v>
      </c>
      <c r="D1678" s="84" t="s">
        <v>3420</v>
      </c>
      <c r="E1678" s="84" t="s">
        <v>1399</v>
      </c>
      <c r="F1678" s="84" t="s">
        <v>1524</v>
      </c>
    </row>
    <row r="1679" spans="1:6" hidden="1" x14ac:dyDescent="0.25">
      <c r="A1679" s="85" t="s">
        <v>3421</v>
      </c>
      <c r="B1679" s="85" t="s">
        <v>3421</v>
      </c>
      <c r="C1679" s="84" t="s">
        <v>922</v>
      </c>
      <c r="D1679" s="84" t="s">
        <v>3422</v>
      </c>
      <c r="E1679" s="84" t="s">
        <v>1399</v>
      </c>
      <c r="F1679" s="84" t="s">
        <v>1524</v>
      </c>
    </row>
    <row r="1680" spans="1:6" hidden="1" x14ac:dyDescent="0.25">
      <c r="A1680" s="85" t="s">
        <v>3423</v>
      </c>
      <c r="B1680" s="85" t="s">
        <v>3424</v>
      </c>
      <c r="C1680" s="84" t="s">
        <v>922</v>
      </c>
      <c r="D1680" s="84" t="s">
        <v>3425</v>
      </c>
      <c r="E1680" s="84" t="s">
        <v>1399</v>
      </c>
      <c r="F1680" s="84" t="s">
        <v>1524</v>
      </c>
    </row>
    <row r="1681" spans="1:6" hidden="1" x14ac:dyDescent="0.25">
      <c r="A1681" s="85" t="s">
        <v>1522</v>
      </c>
      <c r="B1681" s="85" t="s">
        <v>3426</v>
      </c>
      <c r="C1681" s="84" t="s">
        <v>922</v>
      </c>
      <c r="D1681" s="84" t="s">
        <v>1523</v>
      </c>
      <c r="E1681" s="84" t="s">
        <v>1399</v>
      </c>
      <c r="F1681" s="84" t="s">
        <v>1524</v>
      </c>
    </row>
    <row r="1682" spans="1:6" hidden="1" x14ac:dyDescent="0.25">
      <c r="A1682" s="85" t="s">
        <v>1525</v>
      </c>
      <c r="B1682" s="85" t="s">
        <v>3427</v>
      </c>
      <c r="C1682" s="84" t="s">
        <v>922</v>
      </c>
      <c r="D1682" s="84" t="s">
        <v>1526</v>
      </c>
      <c r="E1682" s="84" t="s">
        <v>1399</v>
      </c>
      <c r="F1682" s="84" t="s">
        <v>1524</v>
      </c>
    </row>
    <row r="1683" spans="1:6" hidden="1" x14ac:dyDescent="0.25">
      <c r="A1683" s="85" t="s">
        <v>1527</v>
      </c>
      <c r="B1683" s="85" t="s">
        <v>3428</v>
      </c>
      <c r="C1683" s="84" t="s">
        <v>922</v>
      </c>
      <c r="D1683" s="84" t="s">
        <v>1528</v>
      </c>
      <c r="E1683" s="84" t="s">
        <v>1399</v>
      </c>
      <c r="F1683" s="84" t="s">
        <v>1524</v>
      </c>
    </row>
    <row r="1684" spans="1:6" hidden="1" x14ac:dyDescent="0.25">
      <c r="A1684" s="85" t="s">
        <v>3429</v>
      </c>
      <c r="B1684" s="85" t="s">
        <v>3430</v>
      </c>
      <c r="C1684" s="84" t="s">
        <v>922</v>
      </c>
      <c r="D1684" s="84" t="s">
        <v>3431</v>
      </c>
      <c r="E1684" s="84" t="s">
        <v>1399</v>
      </c>
      <c r="F1684" s="84" t="s">
        <v>1524</v>
      </c>
    </row>
    <row r="1685" spans="1:6" hidden="1" x14ac:dyDescent="0.25">
      <c r="A1685" s="85" t="s">
        <v>3432</v>
      </c>
      <c r="B1685" s="85" t="s">
        <v>3433</v>
      </c>
      <c r="C1685" s="84" t="s">
        <v>922</v>
      </c>
      <c r="D1685" s="84" t="s">
        <v>3434</v>
      </c>
      <c r="E1685" s="84" t="s">
        <v>1399</v>
      </c>
      <c r="F1685" s="84" t="s">
        <v>1524</v>
      </c>
    </row>
    <row r="1686" spans="1:6" hidden="1" x14ac:dyDescent="0.25">
      <c r="A1686" s="85">
        <v>92706</v>
      </c>
      <c r="B1686" s="85">
        <v>92706</v>
      </c>
      <c r="C1686" s="84" t="s">
        <v>2888</v>
      </c>
      <c r="D1686" s="84" t="s">
        <v>3435</v>
      </c>
      <c r="E1686" s="84" t="s">
        <v>1399</v>
      </c>
      <c r="F1686" s="84" t="s">
        <v>1524</v>
      </c>
    </row>
    <row r="1687" spans="1:6" hidden="1" x14ac:dyDescent="0.25">
      <c r="A1687" s="85">
        <v>92707</v>
      </c>
      <c r="B1687" s="85">
        <v>92707</v>
      </c>
      <c r="C1687" s="84" t="s">
        <v>2888</v>
      </c>
      <c r="D1687" s="84" t="s">
        <v>3436</v>
      </c>
      <c r="E1687" s="84" t="s">
        <v>1399</v>
      </c>
      <c r="F1687" s="84" t="s">
        <v>1524</v>
      </c>
    </row>
    <row r="1688" spans="1:6" hidden="1" x14ac:dyDescent="0.25">
      <c r="A1688" s="85">
        <v>92708</v>
      </c>
      <c r="B1688" s="85">
        <v>92708</v>
      </c>
      <c r="C1688" s="84" t="s">
        <v>2888</v>
      </c>
      <c r="D1688" s="84" t="s">
        <v>3437</v>
      </c>
      <c r="E1688" s="84" t="s">
        <v>1399</v>
      </c>
      <c r="F1688" s="84" t="s">
        <v>1524</v>
      </c>
    </row>
    <row r="1689" spans="1:6" hidden="1" x14ac:dyDescent="0.25">
      <c r="A1689" s="85" t="s">
        <v>1529</v>
      </c>
      <c r="B1689" s="85" t="s">
        <v>1529</v>
      </c>
      <c r="C1689" s="84" t="s">
        <v>958</v>
      </c>
      <c r="D1689" s="84" t="s">
        <v>1530</v>
      </c>
      <c r="E1689" s="84" t="s">
        <v>1399</v>
      </c>
      <c r="F1689" s="84" t="s">
        <v>1524</v>
      </c>
    </row>
    <row r="1690" spans="1:6" hidden="1" x14ac:dyDescent="0.25">
      <c r="A1690" s="85" t="s">
        <v>1531</v>
      </c>
      <c r="B1690" s="85" t="s">
        <v>1531</v>
      </c>
      <c r="C1690" s="84" t="s">
        <v>958</v>
      </c>
      <c r="D1690" s="84" t="s">
        <v>1532</v>
      </c>
      <c r="E1690" s="84" t="s">
        <v>1399</v>
      </c>
      <c r="F1690" s="84" t="s">
        <v>1524</v>
      </c>
    </row>
    <row r="1691" spans="1:6" hidden="1" x14ac:dyDescent="0.25">
      <c r="A1691" s="85" t="s">
        <v>1533</v>
      </c>
      <c r="B1691" s="85" t="s">
        <v>1533</v>
      </c>
      <c r="C1691" s="84" t="s">
        <v>958</v>
      </c>
      <c r="D1691" s="84" t="s">
        <v>1534</v>
      </c>
      <c r="E1691" s="84" t="s">
        <v>1399</v>
      </c>
      <c r="F1691" s="84" t="s">
        <v>1524</v>
      </c>
    </row>
    <row r="1692" spans="1:6" hidden="1" x14ac:dyDescent="0.25">
      <c r="A1692" s="85" t="s">
        <v>1535</v>
      </c>
      <c r="B1692" s="85" t="s">
        <v>1535</v>
      </c>
      <c r="C1692" s="84" t="s">
        <v>958</v>
      </c>
      <c r="D1692" s="84" t="s">
        <v>1536</v>
      </c>
      <c r="E1692" s="84" t="s">
        <v>1399</v>
      </c>
      <c r="F1692" s="84" t="s">
        <v>1524</v>
      </c>
    </row>
    <row r="1693" spans="1:6" hidden="1" x14ac:dyDescent="0.25">
      <c r="A1693" s="85" t="s">
        <v>1537</v>
      </c>
      <c r="B1693" s="85" t="s">
        <v>1537</v>
      </c>
      <c r="C1693" s="84" t="s">
        <v>958</v>
      </c>
      <c r="D1693" s="84" t="s">
        <v>1538</v>
      </c>
      <c r="E1693" s="84" t="s">
        <v>1399</v>
      </c>
      <c r="F1693" s="84" t="s">
        <v>1524</v>
      </c>
    </row>
    <row r="1694" spans="1:6" hidden="1" x14ac:dyDescent="0.25">
      <c r="A1694" s="85" t="s">
        <v>1539</v>
      </c>
      <c r="B1694" s="85" t="s">
        <v>1539</v>
      </c>
      <c r="C1694" s="84" t="s">
        <v>958</v>
      </c>
      <c r="D1694" s="84" t="s">
        <v>1540</v>
      </c>
      <c r="E1694" s="84" t="s">
        <v>1399</v>
      </c>
      <c r="F1694" s="84" t="s">
        <v>1524</v>
      </c>
    </row>
    <row r="1695" spans="1:6" hidden="1" x14ac:dyDescent="0.25">
      <c r="A1695" s="85" t="s">
        <v>3438</v>
      </c>
      <c r="B1695" s="85">
        <v>95060</v>
      </c>
      <c r="C1695" s="84" t="s">
        <v>2895</v>
      </c>
      <c r="D1695" s="84" t="s">
        <v>3439</v>
      </c>
      <c r="E1695" s="84" t="s">
        <v>1399</v>
      </c>
      <c r="F1695" s="84" t="s">
        <v>1542</v>
      </c>
    </row>
    <row r="1696" spans="1:6" hidden="1" x14ac:dyDescent="0.25">
      <c r="A1696" s="85">
        <v>82272</v>
      </c>
      <c r="B1696" s="85">
        <v>82272</v>
      </c>
      <c r="C1696" s="84" t="s">
        <v>922</v>
      </c>
      <c r="D1696" s="84" t="s">
        <v>3440</v>
      </c>
      <c r="E1696" s="84" t="s">
        <v>1399</v>
      </c>
      <c r="F1696" s="84" t="s">
        <v>1542</v>
      </c>
    </row>
    <row r="1697" spans="1:6" hidden="1" x14ac:dyDescent="0.25">
      <c r="A1697" s="85">
        <v>82282</v>
      </c>
      <c r="B1697" s="85">
        <v>82282</v>
      </c>
      <c r="C1697" s="84" t="s">
        <v>922</v>
      </c>
      <c r="D1697" s="84" t="s">
        <v>3441</v>
      </c>
      <c r="E1697" s="84" t="s">
        <v>1399</v>
      </c>
      <c r="F1697" s="84" t="s">
        <v>1542</v>
      </c>
    </row>
    <row r="1698" spans="1:6" hidden="1" x14ac:dyDescent="0.25">
      <c r="A1698" s="85" t="s">
        <v>145</v>
      </c>
      <c r="B1698" s="85" t="s">
        <v>3442</v>
      </c>
      <c r="C1698" s="84" t="s">
        <v>922</v>
      </c>
      <c r="D1698" s="84" t="s">
        <v>1541</v>
      </c>
      <c r="E1698" s="84" t="s">
        <v>1399</v>
      </c>
      <c r="F1698" s="84" t="s">
        <v>1542</v>
      </c>
    </row>
    <row r="1699" spans="1:6" hidden="1" x14ac:dyDescent="0.25">
      <c r="A1699" s="85" t="s">
        <v>146</v>
      </c>
      <c r="B1699" s="85" t="s">
        <v>3443</v>
      </c>
      <c r="C1699" s="84" t="s">
        <v>922</v>
      </c>
      <c r="D1699" s="84" t="s">
        <v>1543</v>
      </c>
      <c r="E1699" s="84" t="s">
        <v>1399</v>
      </c>
      <c r="F1699" s="84" t="s">
        <v>1542</v>
      </c>
    </row>
    <row r="1700" spans="1:6" hidden="1" x14ac:dyDescent="0.25">
      <c r="A1700" s="85" t="s">
        <v>147</v>
      </c>
      <c r="B1700" s="85" t="s">
        <v>3444</v>
      </c>
      <c r="C1700" s="84" t="s">
        <v>922</v>
      </c>
      <c r="D1700" s="84" t="s">
        <v>1544</v>
      </c>
      <c r="E1700" s="84" t="s">
        <v>1399</v>
      </c>
      <c r="F1700" s="84" t="s">
        <v>1542</v>
      </c>
    </row>
    <row r="1701" spans="1:6" hidden="1" x14ac:dyDescent="0.25">
      <c r="A1701" s="85" t="s">
        <v>3445</v>
      </c>
      <c r="B1701" s="85" t="s">
        <v>3445</v>
      </c>
      <c r="C1701" s="84" t="s">
        <v>922</v>
      </c>
      <c r="D1701" s="84" t="s">
        <v>3446</v>
      </c>
      <c r="E1701" s="84" t="s">
        <v>1399</v>
      </c>
      <c r="F1701" s="84" t="s">
        <v>1542</v>
      </c>
    </row>
    <row r="1702" spans="1:6" hidden="1" x14ac:dyDescent="0.25">
      <c r="A1702" s="85" t="s">
        <v>3447</v>
      </c>
      <c r="B1702" s="85" t="s">
        <v>3447</v>
      </c>
      <c r="C1702" s="84" t="s">
        <v>922</v>
      </c>
      <c r="D1702" s="84" t="s">
        <v>1543</v>
      </c>
      <c r="E1702" s="84" t="s">
        <v>1399</v>
      </c>
      <c r="F1702" s="84" t="s">
        <v>1542</v>
      </c>
    </row>
    <row r="1703" spans="1:6" hidden="1" x14ac:dyDescent="0.25">
      <c r="A1703" s="85" t="s">
        <v>3448</v>
      </c>
      <c r="B1703" s="85" t="s">
        <v>3448</v>
      </c>
      <c r="C1703" s="84" t="s">
        <v>922</v>
      </c>
      <c r="D1703" s="84" t="s">
        <v>1544</v>
      </c>
      <c r="E1703" s="84" t="s">
        <v>1399</v>
      </c>
      <c r="F1703" s="84" t="s">
        <v>1542</v>
      </c>
    </row>
    <row r="1704" spans="1:6" hidden="1" x14ac:dyDescent="0.25">
      <c r="A1704" s="85" t="s">
        <v>88</v>
      </c>
      <c r="B1704" s="85" t="s">
        <v>88</v>
      </c>
      <c r="C1704" s="84" t="s">
        <v>958</v>
      </c>
      <c r="D1704" s="84" t="s">
        <v>706</v>
      </c>
      <c r="E1704" s="84" t="s">
        <v>1399</v>
      </c>
      <c r="F1704" s="84" t="s">
        <v>1542</v>
      </c>
    </row>
    <row r="1705" spans="1:6" hidden="1" x14ac:dyDescent="0.25">
      <c r="A1705" s="85" t="s">
        <v>89</v>
      </c>
      <c r="B1705" s="85" t="s">
        <v>89</v>
      </c>
      <c r="C1705" s="84" t="s">
        <v>958</v>
      </c>
      <c r="D1705" s="84" t="s">
        <v>707</v>
      </c>
      <c r="E1705" s="84" t="s">
        <v>1399</v>
      </c>
      <c r="F1705" s="84" t="s">
        <v>1542</v>
      </c>
    </row>
    <row r="1706" spans="1:6" hidden="1" x14ac:dyDescent="0.25">
      <c r="A1706" s="85" t="s">
        <v>90</v>
      </c>
      <c r="B1706" s="85" t="s">
        <v>90</v>
      </c>
      <c r="C1706" s="84" t="s">
        <v>958</v>
      </c>
      <c r="D1706" s="84" t="s">
        <v>708</v>
      </c>
      <c r="E1706" s="84" t="s">
        <v>1399</v>
      </c>
      <c r="F1706" s="84" t="s">
        <v>1542</v>
      </c>
    </row>
    <row r="1707" spans="1:6" hidden="1" x14ac:dyDescent="0.25">
      <c r="A1707" s="85" t="s">
        <v>866</v>
      </c>
      <c r="B1707" s="85" t="s">
        <v>866</v>
      </c>
      <c r="C1707" s="84" t="s">
        <v>958</v>
      </c>
      <c r="D1707" s="84" t="s">
        <v>1545</v>
      </c>
      <c r="E1707" s="84" t="s">
        <v>1399</v>
      </c>
      <c r="F1707" s="84" t="s">
        <v>1366</v>
      </c>
    </row>
    <row r="1708" spans="1:6" hidden="1" x14ac:dyDescent="0.25">
      <c r="A1708" s="85" t="s">
        <v>868</v>
      </c>
      <c r="B1708" s="85" t="s">
        <v>868</v>
      </c>
      <c r="C1708" s="84" t="s">
        <v>958</v>
      </c>
      <c r="D1708" s="84" t="s">
        <v>1546</v>
      </c>
      <c r="E1708" s="84" t="s">
        <v>1399</v>
      </c>
      <c r="F1708" s="84" t="s">
        <v>1366</v>
      </c>
    </row>
    <row r="1709" spans="1:6" hidden="1" x14ac:dyDescent="0.25">
      <c r="A1709" s="85" t="s">
        <v>3449</v>
      </c>
      <c r="B1709" s="85" t="s">
        <v>3449</v>
      </c>
      <c r="C1709" s="84" t="s">
        <v>958</v>
      </c>
      <c r="D1709" s="84" t="s">
        <v>3450</v>
      </c>
      <c r="E1709" s="84" t="s">
        <v>1399</v>
      </c>
      <c r="F1709" s="84" t="s">
        <v>1366</v>
      </c>
    </row>
    <row r="1710" spans="1:6" hidden="1" x14ac:dyDescent="0.25">
      <c r="A1710" s="85">
        <v>92401</v>
      </c>
      <c r="B1710" s="85">
        <v>92401</v>
      </c>
      <c r="C1710" s="84" t="s">
        <v>357</v>
      </c>
      <c r="D1710" s="84" t="s">
        <v>3451</v>
      </c>
      <c r="E1710" s="84" t="s">
        <v>1399</v>
      </c>
      <c r="F1710" s="84" t="s">
        <v>1548</v>
      </c>
    </row>
    <row r="1711" spans="1:6" hidden="1" x14ac:dyDescent="0.25">
      <c r="A1711" s="85">
        <v>92402</v>
      </c>
      <c r="B1711" s="85">
        <v>92402</v>
      </c>
      <c r="C1711" s="84" t="s">
        <v>357</v>
      </c>
      <c r="D1711" s="84" t="s">
        <v>3452</v>
      </c>
      <c r="E1711" s="84" t="s">
        <v>1399</v>
      </c>
      <c r="F1711" s="84" t="s">
        <v>1548</v>
      </c>
    </row>
    <row r="1712" spans="1:6" hidden="1" x14ac:dyDescent="0.25">
      <c r="A1712" s="85">
        <v>92403</v>
      </c>
      <c r="B1712" s="85">
        <v>92403</v>
      </c>
      <c r="C1712" s="84" t="s">
        <v>357</v>
      </c>
      <c r="D1712" s="84" t="s">
        <v>3453</v>
      </c>
      <c r="E1712" s="84" t="s">
        <v>1399</v>
      </c>
      <c r="F1712" s="84" t="s">
        <v>1548</v>
      </c>
    </row>
    <row r="1713" spans="1:6" hidden="1" x14ac:dyDescent="0.25">
      <c r="A1713" s="85">
        <v>92404</v>
      </c>
      <c r="B1713" s="85">
        <v>92404</v>
      </c>
      <c r="C1713" s="84" t="s">
        <v>357</v>
      </c>
      <c r="D1713" s="84" t="s">
        <v>3454</v>
      </c>
      <c r="E1713" s="84" t="s">
        <v>1399</v>
      </c>
      <c r="F1713" s="84" t="s">
        <v>1548</v>
      </c>
    </row>
    <row r="1714" spans="1:6" hidden="1" x14ac:dyDescent="0.25">
      <c r="A1714" s="85" t="s">
        <v>3455</v>
      </c>
      <c r="B1714" s="85">
        <v>95021</v>
      </c>
      <c r="C1714" s="84" t="s">
        <v>2895</v>
      </c>
      <c r="D1714" s="84" t="s">
        <v>3456</v>
      </c>
      <c r="E1714" s="84" t="s">
        <v>1399</v>
      </c>
      <c r="F1714" s="84" t="s">
        <v>1548</v>
      </c>
    </row>
    <row r="1715" spans="1:6" hidden="1" x14ac:dyDescent="0.25">
      <c r="A1715" s="85" t="s">
        <v>3457</v>
      </c>
      <c r="B1715" s="85">
        <v>95022</v>
      </c>
      <c r="C1715" s="84" t="s">
        <v>2895</v>
      </c>
      <c r="D1715" s="84" t="s">
        <v>3458</v>
      </c>
      <c r="E1715" s="84" t="s">
        <v>1399</v>
      </c>
      <c r="F1715" s="84" t="s">
        <v>1548</v>
      </c>
    </row>
    <row r="1716" spans="1:6" hidden="1" x14ac:dyDescent="0.25">
      <c r="A1716" s="85" t="s">
        <v>3459</v>
      </c>
      <c r="B1716" s="85">
        <v>95023</v>
      </c>
      <c r="C1716" s="84" t="s">
        <v>2895</v>
      </c>
      <c r="D1716" s="84" t="s">
        <v>3460</v>
      </c>
      <c r="E1716" s="84" t="s">
        <v>1399</v>
      </c>
      <c r="F1716" s="84" t="s">
        <v>1548</v>
      </c>
    </row>
    <row r="1717" spans="1:6" hidden="1" x14ac:dyDescent="0.25">
      <c r="A1717" s="85" t="s">
        <v>3461</v>
      </c>
      <c r="B1717" s="85">
        <v>95024</v>
      </c>
      <c r="C1717" s="84" t="s">
        <v>2895</v>
      </c>
      <c r="D1717" s="84" t="s">
        <v>3462</v>
      </c>
      <c r="E1717" s="84" t="s">
        <v>1399</v>
      </c>
      <c r="F1717" s="84" t="s">
        <v>1548</v>
      </c>
    </row>
    <row r="1718" spans="1:6" hidden="1" x14ac:dyDescent="0.25">
      <c r="A1718" s="85" t="s">
        <v>3463</v>
      </c>
      <c r="B1718" s="85">
        <v>95025</v>
      </c>
      <c r="C1718" s="84" t="s">
        <v>2895</v>
      </c>
      <c r="D1718" s="84" t="s">
        <v>3464</v>
      </c>
      <c r="E1718" s="84" t="s">
        <v>1399</v>
      </c>
      <c r="F1718" s="84" t="s">
        <v>1548</v>
      </c>
    </row>
    <row r="1719" spans="1:6" hidden="1" x14ac:dyDescent="0.25">
      <c r="A1719" s="85" t="s">
        <v>3465</v>
      </c>
      <c r="B1719" s="85">
        <v>95031</v>
      </c>
      <c r="C1719" s="84" t="s">
        <v>2895</v>
      </c>
      <c r="D1719" s="84" t="s">
        <v>3466</v>
      </c>
      <c r="E1719" s="84" t="s">
        <v>1399</v>
      </c>
      <c r="F1719" s="84" t="s">
        <v>1548</v>
      </c>
    </row>
    <row r="1720" spans="1:6" hidden="1" x14ac:dyDescent="0.25">
      <c r="A1720" s="85" t="s">
        <v>3467</v>
      </c>
      <c r="B1720" s="85">
        <v>95032</v>
      </c>
      <c r="C1720" s="84" t="s">
        <v>2895</v>
      </c>
      <c r="D1720" s="84" t="s">
        <v>3468</v>
      </c>
      <c r="E1720" s="84" t="s">
        <v>1399</v>
      </c>
      <c r="F1720" s="84" t="s">
        <v>1548</v>
      </c>
    </row>
    <row r="1721" spans="1:6" hidden="1" x14ac:dyDescent="0.25">
      <c r="A1721" s="85" t="s">
        <v>3469</v>
      </c>
      <c r="B1721" s="85">
        <v>95033</v>
      </c>
      <c r="C1721" s="84" t="s">
        <v>2895</v>
      </c>
      <c r="D1721" s="84" t="s">
        <v>3470</v>
      </c>
      <c r="E1721" s="84" t="s">
        <v>1399</v>
      </c>
      <c r="F1721" s="84" t="s">
        <v>1548</v>
      </c>
    </row>
    <row r="1722" spans="1:6" hidden="1" x14ac:dyDescent="0.25">
      <c r="A1722" s="85" t="s">
        <v>3471</v>
      </c>
      <c r="B1722" s="85">
        <v>95034</v>
      </c>
      <c r="C1722" s="84" t="s">
        <v>2895</v>
      </c>
      <c r="D1722" s="84" t="s">
        <v>3472</v>
      </c>
      <c r="E1722" s="84" t="s">
        <v>1399</v>
      </c>
      <c r="F1722" s="84" t="s">
        <v>1548</v>
      </c>
    </row>
    <row r="1723" spans="1:6" hidden="1" x14ac:dyDescent="0.25">
      <c r="A1723" s="85" t="s">
        <v>3473</v>
      </c>
      <c r="B1723" s="85">
        <v>95035</v>
      </c>
      <c r="C1723" s="84" t="s">
        <v>2895</v>
      </c>
      <c r="D1723" s="84" t="s">
        <v>3474</v>
      </c>
      <c r="E1723" s="84" t="s">
        <v>1399</v>
      </c>
      <c r="F1723" s="84" t="s">
        <v>1548</v>
      </c>
    </row>
    <row r="1724" spans="1:6" hidden="1" x14ac:dyDescent="0.25">
      <c r="A1724" s="85">
        <v>82792</v>
      </c>
      <c r="B1724" s="85">
        <v>82792</v>
      </c>
      <c r="C1724" s="84" t="s">
        <v>922</v>
      </c>
      <c r="D1724" s="84" t="s">
        <v>3475</v>
      </c>
      <c r="E1724" s="84" t="s">
        <v>1399</v>
      </c>
      <c r="F1724" s="84" t="s">
        <v>1548</v>
      </c>
    </row>
    <row r="1725" spans="1:6" hidden="1" x14ac:dyDescent="0.25">
      <c r="A1725" s="85">
        <v>82802</v>
      </c>
      <c r="B1725" s="85">
        <v>82802</v>
      </c>
      <c r="C1725" s="84" t="s">
        <v>922</v>
      </c>
      <c r="D1725" s="84" t="s">
        <v>3476</v>
      </c>
      <c r="E1725" s="84" t="s">
        <v>1399</v>
      </c>
      <c r="F1725" s="84" t="s">
        <v>1548</v>
      </c>
    </row>
    <row r="1726" spans="1:6" hidden="1" x14ac:dyDescent="0.25">
      <c r="A1726" s="85">
        <v>82812</v>
      </c>
      <c r="B1726" s="85">
        <v>82812</v>
      </c>
      <c r="C1726" s="84" t="s">
        <v>922</v>
      </c>
      <c r="D1726" s="84" t="s">
        <v>3477</v>
      </c>
      <c r="E1726" s="84" t="s">
        <v>1399</v>
      </c>
      <c r="F1726" s="84" t="s">
        <v>1548</v>
      </c>
    </row>
    <row r="1727" spans="1:6" hidden="1" x14ac:dyDescent="0.25">
      <c r="A1727" s="85">
        <v>82822</v>
      </c>
      <c r="B1727" s="85">
        <v>82822</v>
      </c>
      <c r="C1727" s="84" t="s">
        <v>922</v>
      </c>
      <c r="D1727" s="84" t="s">
        <v>3478</v>
      </c>
      <c r="E1727" s="84" t="s">
        <v>1399</v>
      </c>
      <c r="F1727" s="84" t="s">
        <v>1548</v>
      </c>
    </row>
    <row r="1728" spans="1:6" hidden="1" x14ac:dyDescent="0.25">
      <c r="A1728" s="85">
        <v>82832</v>
      </c>
      <c r="B1728" s="85">
        <v>82832</v>
      </c>
      <c r="C1728" s="84" t="s">
        <v>922</v>
      </c>
      <c r="D1728" s="84" t="s">
        <v>3479</v>
      </c>
      <c r="E1728" s="84" t="s">
        <v>1399</v>
      </c>
      <c r="F1728" s="84" t="s">
        <v>1548</v>
      </c>
    </row>
    <row r="1729" spans="1:6" hidden="1" x14ac:dyDescent="0.25">
      <c r="A1729" s="85">
        <v>82842</v>
      </c>
      <c r="B1729" s="85">
        <v>82842</v>
      </c>
      <c r="C1729" s="84" t="s">
        <v>922</v>
      </c>
      <c r="D1729" s="84" t="s">
        <v>3480</v>
      </c>
      <c r="E1729" s="84" t="s">
        <v>1399</v>
      </c>
      <c r="F1729" s="84" t="s">
        <v>1548</v>
      </c>
    </row>
    <row r="1730" spans="1:6" hidden="1" x14ac:dyDescent="0.25">
      <c r="A1730" s="85">
        <v>82852</v>
      </c>
      <c r="B1730" s="85">
        <v>82852</v>
      </c>
      <c r="C1730" s="84" t="s">
        <v>922</v>
      </c>
      <c r="D1730" s="84" t="s">
        <v>3481</v>
      </c>
      <c r="E1730" s="84" t="s">
        <v>1399</v>
      </c>
      <c r="F1730" s="84" t="s">
        <v>1548</v>
      </c>
    </row>
    <row r="1731" spans="1:6" hidden="1" x14ac:dyDescent="0.25">
      <c r="A1731" s="85" t="s">
        <v>112</v>
      </c>
      <c r="B1731" s="85" t="s">
        <v>3482</v>
      </c>
      <c r="C1731" s="84" t="s">
        <v>922</v>
      </c>
      <c r="D1731" s="84" t="s">
        <v>1547</v>
      </c>
      <c r="E1731" s="84" t="s">
        <v>1399</v>
      </c>
      <c r="F1731" s="84" t="s">
        <v>1548</v>
      </c>
    </row>
    <row r="1732" spans="1:6" hidden="1" x14ac:dyDescent="0.25">
      <c r="A1732" s="85" t="s">
        <v>113</v>
      </c>
      <c r="B1732" s="85" t="s">
        <v>3483</v>
      </c>
      <c r="C1732" s="84" t="s">
        <v>922</v>
      </c>
      <c r="D1732" s="84" t="s">
        <v>1549</v>
      </c>
      <c r="E1732" s="84" t="s">
        <v>1399</v>
      </c>
      <c r="F1732" s="84" t="s">
        <v>1548</v>
      </c>
    </row>
    <row r="1733" spans="1:6" hidden="1" x14ac:dyDescent="0.25">
      <c r="A1733" s="85" t="s">
        <v>114</v>
      </c>
      <c r="B1733" s="85" t="s">
        <v>3484</v>
      </c>
      <c r="C1733" s="84" t="s">
        <v>922</v>
      </c>
      <c r="D1733" s="84" t="s">
        <v>1550</v>
      </c>
      <c r="E1733" s="84" t="s">
        <v>1399</v>
      </c>
      <c r="F1733" s="84" t="s">
        <v>1548</v>
      </c>
    </row>
    <row r="1734" spans="1:6" hidden="1" x14ac:dyDescent="0.25">
      <c r="A1734" s="85" t="s">
        <v>115</v>
      </c>
      <c r="B1734" s="85" t="s">
        <v>3485</v>
      </c>
      <c r="C1734" s="84" t="s">
        <v>922</v>
      </c>
      <c r="D1734" s="84" t="s">
        <v>1551</v>
      </c>
      <c r="E1734" s="84" t="s">
        <v>1399</v>
      </c>
      <c r="F1734" s="84" t="s">
        <v>1548</v>
      </c>
    </row>
    <row r="1735" spans="1:6" hidden="1" x14ac:dyDescent="0.25">
      <c r="A1735" s="85" t="s">
        <v>116</v>
      </c>
      <c r="B1735" s="85" t="s">
        <v>3486</v>
      </c>
      <c r="C1735" s="84" t="s">
        <v>922</v>
      </c>
      <c r="D1735" s="84" t="s">
        <v>1552</v>
      </c>
      <c r="E1735" s="84" t="s">
        <v>1399</v>
      </c>
      <c r="F1735" s="84" t="s">
        <v>1548</v>
      </c>
    </row>
    <row r="1736" spans="1:6" hidden="1" x14ac:dyDescent="0.25">
      <c r="A1736" s="85" t="s">
        <v>117</v>
      </c>
      <c r="B1736" s="85" t="s">
        <v>3487</v>
      </c>
      <c r="C1736" s="84" t="s">
        <v>922</v>
      </c>
      <c r="D1736" s="84" t="s">
        <v>1553</v>
      </c>
      <c r="E1736" s="84" t="s">
        <v>1399</v>
      </c>
      <c r="F1736" s="84" t="s">
        <v>1548</v>
      </c>
    </row>
    <row r="1737" spans="1:6" hidden="1" x14ac:dyDescent="0.25">
      <c r="A1737" s="85" t="s">
        <v>118</v>
      </c>
      <c r="B1737" s="85" t="s">
        <v>3488</v>
      </c>
      <c r="C1737" s="84" t="s">
        <v>922</v>
      </c>
      <c r="D1737" s="84" t="s">
        <v>1554</v>
      </c>
      <c r="E1737" s="84" t="s">
        <v>1399</v>
      </c>
      <c r="F1737" s="84" t="s">
        <v>1548</v>
      </c>
    </row>
    <row r="1738" spans="1:6" hidden="1" x14ac:dyDescent="0.25">
      <c r="A1738" s="85" t="s">
        <v>119</v>
      </c>
      <c r="B1738" s="85" t="s">
        <v>3489</v>
      </c>
      <c r="C1738" s="84" t="s">
        <v>922</v>
      </c>
      <c r="D1738" s="84" t="s">
        <v>1555</v>
      </c>
      <c r="E1738" s="84" t="s">
        <v>1399</v>
      </c>
      <c r="F1738" s="84" t="s">
        <v>1548</v>
      </c>
    </row>
    <row r="1739" spans="1:6" hidden="1" x14ac:dyDescent="0.25">
      <c r="A1739" s="85" t="s">
        <v>120</v>
      </c>
      <c r="B1739" s="85" t="s">
        <v>3490</v>
      </c>
      <c r="C1739" s="84" t="s">
        <v>922</v>
      </c>
      <c r="D1739" s="84" t="s">
        <v>1556</v>
      </c>
      <c r="E1739" s="84" t="s">
        <v>1399</v>
      </c>
      <c r="F1739" s="84" t="s">
        <v>1548</v>
      </c>
    </row>
    <row r="1740" spans="1:6" hidden="1" x14ac:dyDescent="0.25">
      <c r="A1740" s="85" t="s">
        <v>135</v>
      </c>
      <c r="B1740" s="85" t="s">
        <v>3491</v>
      </c>
      <c r="C1740" s="84" t="s">
        <v>922</v>
      </c>
      <c r="D1740" s="84" t="s">
        <v>1557</v>
      </c>
      <c r="E1740" s="84" t="s">
        <v>1399</v>
      </c>
      <c r="F1740" s="84" t="s">
        <v>1548</v>
      </c>
    </row>
    <row r="1741" spans="1:6" hidden="1" x14ac:dyDescent="0.25">
      <c r="A1741" s="85" t="s">
        <v>136</v>
      </c>
      <c r="B1741" s="85" t="s">
        <v>3492</v>
      </c>
      <c r="C1741" s="84" t="s">
        <v>922</v>
      </c>
      <c r="D1741" s="84" t="s">
        <v>1558</v>
      </c>
      <c r="E1741" s="84" t="s">
        <v>1399</v>
      </c>
      <c r="F1741" s="84" t="s">
        <v>1548</v>
      </c>
    </row>
    <row r="1742" spans="1:6" hidden="1" x14ac:dyDescent="0.25">
      <c r="A1742" s="85" t="s">
        <v>137</v>
      </c>
      <c r="B1742" s="85" t="s">
        <v>3493</v>
      </c>
      <c r="C1742" s="84" t="s">
        <v>922</v>
      </c>
      <c r="D1742" s="84" t="s">
        <v>1559</v>
      </c>
      <c r="E1742" s="84" t="s">
        <v>1399</v>
      </c>
      <c r="F1742" s="84" t="s">
        <v>1548</v>
      </c>
    </row>
    <row r="1743" spans="1:6" hidden="1" x14ac:dyDescent="0.25">
      <c r="A1743" s="85" t="s">
        <v>138</v>
      </c>
      <c r="B1743" s="85" t="s">
        <v>3494</v>
      </c>
      <c r="C1743" s="84" t="s">
        <v>922</v>
      </c>
      <c r="D1743" s="84" t="s">
        <v>1560</v>
      </c>
      <c r="E1743" s="84" t="s">
        <v>1399</v>
      </c>
      <c r="F1743" s="84" t="s">
        <v>1548</v>
      </c>
    </row>
    <row r="1744" spans="1:6" hidden="1" x14ac:dyDescent="0.25">
      <c r="A1744" s="85" t="s">
        <v>139</v>
      </c>
      <c r="B1744" s="85" t="s">
        <v>3495</v>
      </c>
      <c r="C1744" s="84" t="s">
        <v>922</v>
      </c>
      <c r="D1744" s="84" t="s">
        <v>1561</v>
      </c>
      <c r="E1744" s="84" t="s">
        <v>1399</v>
      </c>
      <c r="F1744" s="84" t="s">
        <v>1548</v>
      </c>
    </row>
    <row r="1745" spans="1:6" hidden="1" x14ac:dyDescent="0.25">
      <c r="A1745" s="85" t="s">
        <v>140</v>
      </c>
      <c r="B1745" s="85" t="s">
        <v>3496</v>
      </c>
      <c r="C1745" s="84" t="s">
        <v>922</v>
      </c>
      <c r="D1745" s="84" t="s">
        <v>1562</v>
      </c>
      <c r="E1745" s="84" t="s">
        <v>1399</v>
      </c>
      <c r="F1745" s="84" t="s">
        <v>1548</v>
      </c>
    </row>
    <row r="1746" spans="1:6" hidden="1" x14ac:dyDescent="0.25">
      <c r="A1746" s="85" t="s">
        <v>141</v>
      </c>
      <c r="B1746" s="85" t="s">
        <v>3497</v>
      </c>
      <c r="C1746" s="84" t="s">
        <v>922</v>
      </c>
      <c r="D1746" s="84" t="s">
        <v>1563</v>
      </c>
      <c r="E1746" s="84" t="s">
        <v>1399</v>
      </c>
      <c r="F1746" s="84" t="s">
        <v>1548</v>
      </c>
    </row>
    <row r="1747" spans="1:6" hidden="1" x14ac:dyDescent="0.25">
      <c r="A1747" s="85" t="s">
        <v>142</v>
      </c>
      <c r="B1747" s="85" t="s">
        <v>3498</v>
      </c>
      <c r="C1747" s="84" t="s">
        <v>922</v>
      </c>
      <c r="D1747" s="84" t="s">
        <v>1564</v>
      </c>
      <c r="E1747" s="84" t="s">
        <v>1399</v>
      </c>
      <c r="F1747" s="84" t="s">
        <v>1548</v>
      </c>
    </row>
    <row r="1748" spans="1:6" hidden="1" x14ac:dyDescent="0.25">
      <c r="A1748" s="85" t="s">
        <v>143</v>
      </c>
      <c r="B1748" s="85" t="s">
        <v>3499</v>
      </c>
      <c r="C1748" s="84" t="s">
        <v>922</v>
      </c>
      <c r="D1748" s="84" t="s">
        <v>1565</v>
      </c>
      <c r="E1748" s="84" t="s">
        <v>1399</v>
      </c>
      <c r="F1748" s="84" t="s">
        <v>1548</v>
      </c>
    </row>
    <row r="1749" spans="1:6" hidden="1" x14ac:dyDescent="0.25">
      <c r="A1749" s="85" t="s">
        <v>144</v>
      </c>
      <c r="B1749" s="85" t="s">
        <v>3500</v>
      </c>
      <c r="C1749" s="84" t="s">
        <v>922</v>
      </c>
      <c r="D1749" s="84" t="s">
        <v>1566</v>
      </c>
      <c r="E1749" s="84" t="s">
        <v>1399</v>
      </c>
      <c r="F1749" s="84" t="s">
        <v>1548</v>
      </c>
    </row>
    <row r="1750" spans="1:6" hidden="1" x14ac:dyDescent="0.25">
      <c r="A1750" s="85" t="s">
        <v>557</v>
      </c>
      <c r="B1750" s="85" t="s">
        <v>3501</v>
      </c>
      <c r="C1750" s="84" t="s">
        <v>922</v>
      </c>
      <c r="D1750" s="84" t="s">
        <v>1567</v>
      </c>
      <c r="E1750" s="84" t="s">
        <v>1399</v>
      </c>
      <c r="F1750" s="84" t="s">
        <v>1548</v>
      </c>
    </row>
    <row r="1751" spans="1:6" hidden="1" x14ac:dyDescent="0.25">
      <c r="A1751" s="85" t="s">
        <v>558</v>
      </c>
      <c r="B1751" s="85" t="s">
        <v>3502</v>
      </c>
      <c r="C1751" s="84" t="s">
        <v>922</v>
      </c>
      <c r="D1751" s="84" t="s">
        <v>1568</v>
      </c>
      <c r="E1751" s="84" t="s">
        <v>1399</v>
      </c>
      <c r="F1751" s="84" t="s">
        <v>1548</v>
      </c>
    </row>
    <row r="1752" spans="1:6" hidden="1" x14ac:dyDescent="0.25">
      <c r="A1752" s="85" t="s">
        <v>559</v>
      </c>
      <c r="B1752" s="85" t="s">
        <v>3503</v>
      </c>
      <c r="C1752" s="84" t="s">
        <v>922</v>
      </c>
      <c r="D1752" s="84" t="s">
        <v>1569</v>
      </c>
      <c r="E1752" s="84" t="s">
        <v>1399</v>
      </c>
      <c r="F1752" s="84" t="s">
        <v>1548</v>
      </c>
    </row>
    <row r="1753" spans="1:6" hidden="1" x14ac:dyDescent="0.25">
      <c r="A1753" s="85" t="s">
        <v>560</v>
      </c>
      <c r="B1753" s="85" t="s">
        <v>3504</v>
      </c>
      <c r="C1753" s="84" t="s">
        <v>922</v>
      </c>
      <c r="D1753" s="84" t="s">
        <v>1570</v>
      </c>
      <c r="E1753" s="84" t="s">
        <v>1399</v>
      </c>
      <c r="F1753" s="84" t="s">
        <v>1548</v>
      </c>
    </row>
    <row r="1754" spans="1:6" hidden="1" x14ac:dyDescent="0.25">
      <c r="A1754" s="85" t="s">
        <v>561</v>
      </c>
      <c r="B1754" s="85" t="s">
        <v>3505</v>
      </c>
      <c r="C1754" s="84" t="s">
        <v>922</v>
      </c>
      <c r="D1754" s="84" t="s">
        <v>1571</v>
      </c>
      <c r="E1754" s="84" t="s">
        <v>1399</v>
      </c>
      <c r="F1754" s="84" t="s">
        <v>1548</v>
      </c>
    </row>
    <row r="1755" spans="1:6" hidden="1" x14ac:dyDescent="0.25">
      <c r="A1755" s="85" t="s">
        <v>562</v>
      </c>
      <c r="B1755" s="85" t="s">
        <v>3506</v>
      </c>
      <c r="C1755" s="84" t="s">
        <v>922</v>
      </c>
      <c r="D1755" s="84" t="s">
        <v>1572</v>
      </c>
      <c r="E1755" s="84" t="s">
        <v>1399</v>
      </c>
      <c r="F1755" s="84" t="s">
        <v>1548</v>
      </c>
    </row>
    <row r="1756" spans="1:6" hidden="1" x14ac:dyDescent="0.25">
      <c r="A1756" s="85" t="s">
        <v>563</v>
      </c>
      <c r="B1756" s="85" t="s">
        <v>3507</v>
      </c>
      <c r="C1756" s="84" t="s">
        <v>922</v>
      </c>
      <c r="D1756" s="84" t="s">
        <v>1573</v>
      </c>
      <c r="E1756" s="84" t="s">
        <v>1399</v>
      </c>
      <c r="F1756" s="84" t="s">
        <v>1548</v>
      </c>
    </row>
    <row r="1757" spans="1:6" hidden="1" x14ac:dyDescent="0.25">
      <c r="A1757" s="85" t="s">
        <v>564</v>
      </c>
      <c r="B1757" s="85" t="s">
        <v>3508</v>
      </c>
      <c r="C1757" s="84" t="s">
        <v>922</v>
      </c>
      <c r="D1757" s="84" t="s">
        <v>1574</v>
      </c>
      <c r="E1757" s="84" t="s">
        <v>1399</v>
      </c>
      <c r="F1757" s="84" t="s">
        <v>1548</v>
      </c>
    </row>
    <row r="1758" spans="1:6" hidden="1" x14ac:dyDescent="0.25">
      <c r="A1758" s="85" t="s">
        <v>565</v>
      </c>
      <c r="B1758" s="85" t="s">
        <v>3509</v>
      </c>
      <c r="C1758" s="84" t="s">
        <v>922</v>
      </c>
      <c r="D1758" s="84" t="s">
        <v>1575</v>
      </c>
      <c r="E1758" s="84" t="s">
        <v>1399</v>
      </c>
      <c r="F1758" s="84" t="s">
        <v>1548</v>
      </c>
    </row>
    <row r="1759" spans="1:6" hidden="1" x14ac:dyDescent="0.25">
      <c r="A1759" s="85" t="s">
        <v>566</v>
      </c>
      <c r="B1759" s="85" t="s">
        <v>3510</v>
      </c>
      <c r="C1759" s="84" t="s">
        <v>922</v>
      </c>
      <c r="D1759" s="84" t="s">
        <v>1576</v>
      </c>
      <c r="E1759" s="84" t="s">
        <v>1399</v>
      </c>
      <c r="F1759" s="84" t="s">
        <v>1548</v>
      </c>
    </row>
    <row r="1760" spans="1:6" hidden="1" x14ac:dyDescent="0.25">
      <c r="A1760" s="85" t="s">
        <v>567</v>
      </c>
      <c r="B1760" s="85" t="s">
        <v>3511</v>
      </c>
      <c r="C1760" s="84" t="s">
        <v>922</v>
      </c>
      <c r="D1760" s="84" t="s">
        <v>1577</v>
      </c>
      <c r="E1760" s="84" t="s">
        <v>1399</v>
      </c>
      <c r="F1760" s="84" t="s">
        <v>1548</v>
      </c>
    </row>
    <row r="1761" spans="1:6" hidden="1" x14ac:dyDescent="0.25">
      <c r="A1761" s="85" t="s">
        <v>568</v>
      </c>
      <c r="B1761" s="85" t="s">
        <v>3512</v>
      </c>
      <c r="C1761" s="84" t="s">
        <v>922</v>
      </c>
      <c r="D1761" s="84" t="s">
        <v>1578</v>
      </c>
      <c r="E1761" s="84" t="s">
        <v>1399</v>
      </c>
      <c r="F1761" s="84" t="s">
        <v>1548</v>
      </c>
    </row>
    <row r="1762" spans="1:6" hidden="1" x14ac:dyDescent="0.25">
      <c r="A1762" s="85" t="s">
        <v>569</v>
      </c>
      <c r="B1762" s="85" t="s">
        <v>3513</v>
      </c>
      <c r="C1762" s="84" t="s">
        <v>922</v>
      </c>
      <c r="D1762" s="84" t="s">
        <v>1579</v>
      </c>
      <c r="E1762" s="84" t="s">
        <v>1399</v>
      </c>
      <c r="F1762" s="84" t="s">
        <v>1548</v>
      </c>
    </row>
    <row r="1763" spans="1:6" hidden="1" x14ac:dyDescent="0.25">
      <c r="A1763" s="85" t="s">
        <v>3514</v>
      </c>
      <c r="B1763" s="85" t="s">
        <v>3515</v>
      </c>
      <c r="C1763" s="84" t="s">
        <v>922</v>
      </c>
      <c r="D1763" s="84" t="s">
        <v>1547</v>
      </c>
      <c r="E1763" s="84" t="s">
        <v>1399</v>
      </c>
      <c r="F1763" s="84" t="s">
        <v>1548</v>
      </c>
    </row>
    <row r="1764" spans="1:6" hidden="1" x14ac:dyDescent="0.25">
      <c r="A1764" s="85" t="s">
        <v>3516</v>
      </c>
      <c r="B1764" s="85" t="s">
        <v>3517</v>
      </c>
      <c r="C1764" s="84" t="s">
        <v>922</v>
      </c>
      <c r="D1764" s="84" t="s">
        <v>1549</v>
      </c>
      <c r="E1764" s="84" t="s">
        <v>1399</v>
      </c>
      <c r="F1764" s="84" t="s">
        <v>1548</v>
      </c>
    </row>
    <row r="1765" spans="1:6" hidden="1" x14ac:dyDescent="0.25">
      <c r="A1765" s="85" t="s">
        <v>3518</v>
      </c>
      <c r="B1765" s="85" t="s">
        <v>3519</v>
      </c>
      <c r="C1765" s="84" t="s">
        <v>922</v>
      </c>
      <c r="D1765" s="84" t="s">
        <v>1550</v>
      </c>
      <c r="E1765" s="84" t="s">
        <v>1399</v>
      </c>
      <c r="F1765" s="84" t="s">
        <v>1548</v>
      </c>
    </row>
    <row r="1766" spans="1:6" hidden="1" x14ac:dyDescent="0.25">
      <c r="A1766" s="85" t="s">
        <v>3520</v>
      </c>
      <c r="B1766" s="85" t="s">
        <v>3521</v>
      </c>
      <c r="C1766" s="84" t="s">
        <v>922</v>
      </c>
      <c r="D1766" s="84" t="s">
        <v>1551</v>
      </c>
      <c r="E1766" s="84" t="s">
        <v>1399</v>
      </c>
      <c r="F1766" s="84" t="s">
        <v>1548</v>
      </c>
    </row>
    <row r="1767" spans="1:6" hidden="1" x14ac:dyDescent="0.25">
      <c r="A1767" s="85" t="s">
        <v>3522</v>
      </c>
      <c r="B1767" s="85" t="s">
        <v>3523</v>
      </c>
      <c r="C1767" s="84" t="s">
        <v>922</v>
      </c>
      <c r="D1767" s="84" t="s">
        <v>1552</v>
      </c>
      <c r="E1767" s="84" t="s">
        <v>1399</v>
      </c>
      <c r="F1767" s="84" t="s">
        <v>1548</v>
      </c>
    </row>
    <row r="1768" spans="1:6" hidden="1" x14ac:dyDescent="0.25">
      <c r="A1768" s="85" t="s">
        <v>3524</v>
      </c>
      <c r="B1768" s="85" t="s">
        <v>3525</v>
      </c>
      <c r="C1768" s="84" t="s">
        <v>922</v>
      </c>
      <c r="D1768" s="84" t="s">
        <v>1553</v>
      </c>
      <c r="E1768" s="84" t="s">
        <v>1399</v>
      </c>
      <c r="F1768" s="84" t="s">
        <v>1548</v>
      </c>
    </row>
    <row r="1769" spans="1:6" hidden="1" x14ac:dyDescent="0.25">
      <c r="A1769" s="85" t="s">
        <v>3526</v>
      </c>
      <c r="B1769" s="85" t="s">
        <v>3527</v>
      </c>
      <c r="C1769" s="84" t="s">
        <v>922</v>
      </c>
      <c r="D1769" s="84" t="s">
        <v>1554</v>
      </c>
      <c r="E1769" s="84" t="s">
        <v>1399</v>
      </c>
      <c r="F1769" s="84" t="s">
        <v>1548</v>
      </c>
    </row>
    <row r="1770" spans="1:6" hidden="1" x14ac:dyDescent="0.25">
      <c r="A1770" s="85" t="s">
        <v>3528</v>
      </c>
      <c r="B1770" s="85" t="s">
        <v>3529</v>
      </c>
      <c r="C1770" s="84" t="s">
        <v>922</v>
      </c>
      <c r="D1770" s="84" t="s">
        <v>1555</v>
      </c>
      <c r="E1770" s="84" t="s">
        <v>1399</v>
      </c>
      <c r="F1770" s="84" t="s">
        <v>1548</v>
      </c>
    </row>
    <row r="1771" spans="1:6" hidden="1" x14ac:dyDescent="0.25">
      <c r="A1771" s="85" t="s">
        <v>3530</v>
      </c>
      <c r="B1771" s="85" t="s">
        <v>3531</v>
      </c>
      <c r="C1771" s="84" t="s">
        <v>922</v>
      </c>
      <c r="D1771" s="84" t="s">
        <v>1556</v>
      </c>
      <c r="E1771" s="84" t="s">
        <v>1399</v>
      </c>
      <c r="F1771" s="84" t="s">
        <v>1548</v>
      </c>
    </row>
    <row r="1772" spans="1:6" hidden="1" x14ac:dyDescent="0.25">
      <c r="A1772" s="85" t="s">
        <v>3532</v>
      </c>
      <c r="B1772" s="85" t="s">
        <v>3532</v>
      </c>
      <c r="C1772" s="84" t="s">
        <v>922</v>
      </c>
      <c r="D1772" s="84" t="s">
        <v>1553</v>
      </c>
      <c r="E1772" s="84" t="s">
        <v>1399</v>
      </c>
      <c r="F1772" s="84" t="s">
        <v>1548</v>
      </c>
    </row>
    <row r="1773" spans="1:6" hidden="1" x14ac:dyDescent="0.25">
      <c r="A1773" s="85" t="s">
        <v>3533</v>
      </c>
      <c r="B1773" s="85" t="s">
        <v>3533</v>
      </c>
      <c r="C1773" s="84" t="s">
        <v>922</v>
      </c>
      <c r="D1773" s="84" t="s">
        <v>1554</v>
      </c>
      <c r="E1773" s="84" t="s">
        <v>1399</v>
      </c>
      <c r="F1773" s="84" t="s">
        <v>1548</v>
      </c>
    </row>
    <row r="1774" spans="1:6" hidden="1" x14ac:dyDescent="0.25">
      <c r="A1774" s="85" t="s">
        <v>3534</v>
      </c>
      <c r="B1774" s="85" t="s">
        <v>3534</v>
      </c>
      <c r="C1774" s="84" t="s">
        <v>922</v>
      </c>
      <c r="D1774" s="84" t="s">
        <v>1555</v>
      </c>
      <c r="E1774" s="84" t="s">
        <v>1399</v>
      </c>
      <c r="F1774" s="84" t="s">
        <v>1548</v>
      </c>
    </row>
    <row r="1775" spans="1:6" hidden="1" x14ac:dyDescent="0.25">
      <c r="A1775" s="85" t="s">
        <v>3535</v>
      </c>
      <c r="B1775" s="85" t="s">
        <v>3535</v>
      </c>
      <c r="C1775" s="84" t="s">
        <v>922</v>
      </c>
      <c r="D1775" s="84" t="s">
        <v>1556</v>
      </c>
      <c r="E1775" s="84" t="s">
        <v>1399</v>
      </c>
      <c r="F1775" s="84" t="s">
        <v>1548</v>
      </c>
    </row>
    <row r="1776" spans="1:6" hidden="1" x14ac:dyDescent="0.25">
      <c r="A1776" s="85" t="s">
        <v>3536</v>
      </c>
      <c r="B1776" s="85" t="s">
        <v>3536</v>
      </c>
      <c r="C1776" s="84" t="s">
        <v>922</v>
      </c>
      <c r="D1776" s="84" t="s">
        <v>1562</v>
      </c>
      <c r="E1776" s="84" t="s">
        <v>1399</v>
      </c>
      <c r="F1776" s="84" t="s">
        <v>1548</v>
      </c>
    </row>
    <row r="1777" spans="1:6" hidden="1" x14ac:dyDescent="0.25">
      <c r="A1777" s="85" t="s">
        <v>3537</v>
      </c>
      <c r="B1777" s="85" t="s">
        <v>3537</v>
      </c>
      <c r="C1777" s="84" t="s">
        <v>922</v>
      </c>
      <c r="D1777" s="84" t="s">
        <v>1563</v>
      </c>
      <c r="E1777" s="84" t="s">
        <v>1399</v>
      </c>
      <c r="F1777" s="84" t="s">
        <v>1548</v>
      </c>
    </row>
    <row r="1778" spans="1:6" hidden="1" x14ac:dyDescent="0.25">
      <c r="A1778" s="85" t="s">
        <v>3538</v>
      </c>
      <c r="B1778" s="85" t="s">
        <v>3538</v>
      </c>
      <c r="C1778" s="84" t="s">
        <v>922</v>
      </c>
      <c r="D1778" s="84" t="s">
        <v>1564</v>
      </c>
      <c r="E1778" s="84" t="s">
        <v>1399</v>
      </c>
      <c r="F1778" s="84" t="s">
        <v>1548</v>
      </c>
    </row>
    <row r="1779" spans="1:6" hidden="1" x14ac:dyDescent="0.25">
      <c r="A1779" s="85" t="s">
        <v>3539</v>
      </c>
      <c r="B1779" s="85" t="s">
        <v>3539</v>
      </c>
      <c r="C1779" s="84" t="s">
        <v>922</v>
      </c>
      <c r="D1779" s="84" t="s">
        <v>1565</v>
      </c>
      <c r="E1779" s="84" t="s">
        <v>1399</v>
      </c>
      <c r="F1779" s="84" t="s">
        <v>1548</v>
      </c>
    </row>
    <row r="1780" spans="1:6" hidden="1" x14ac:dyDescent="0.25">
      <c r="A1780" s="85" t="s">
        <v>3540</v>
      </c>
      <c r="B1780" s="85" t="s">
        <v>3540</v>
      </c>
      <c r="C1780" s="84" t="s">
        <v>922</v>
      </c>
      <c r="D1780" s="84" t="s">
        <v>1566</v>
      </c>
      <c r="E1780" s="84" t="s">
        <v>1399</v>
      </c>
      <c r="F1780" s="84" t="s">
        <v>1548</v>
      </c>
    </row>
    <row r="1781" spans="1:6" hidden="1" x14ac:dyDescent="0.25">
      <c r="A1781" s="85" t="s">
        <v>3541</v>
      </c>
      <c r="B1781" s="85" t="s">
        <v>3541</v>
      </c>
      <c r="C1781" s="84" t="s">
        <v>922</v>
      </c>
      <c r="D1781" s="84" t="s">
        <v>1567</v>
      </c>
      <c r="E1781" s="84" t="s">
        <v>1399</v>
      </c>
      <c r="F1781" s="84" t="s">
        <v>1548</v>
      </c>
    </row>
    <row r="1782" spans="1:6" hidden="1" x14ac:dyDescent="0.25">
      <c r="A1782" s="85" t="s">
        <v>3542</v>
      </c>
      <c r="B1782" s="85" t="s">
        <v>3542</v>
      </c>
      <c r="C1782" s="84" t="s">
        <v>922</v>
      </c>
      <c r="D1782" s="84" t="s">
        <v>1568</v>
      </c>
      <c r="E1782" s="84" t="s">
        <v>1399</v>
      </c>
      <c r="F1782" s="84" t="s">
        <v>1548</v>
      </c>
    </row>
    <row r="1783" spans="1:6" hidden="1" x14ac:dyDescent="0.25">
      <c r="A1783" s="85" t="s">
        <v>3543</v>
      </c>
      <c r="B1783" s="85" t="s">
        <v>3543</v>
      </c>
      <c r="C1783" s="84" t="s">
        <v>922</v>
      </c>
      <c r="D1783" s="84" t="s">
        <v>1569</v>
      </c>
      <c r="E1783" s="84" t="s">
        <v>1399</v>
      </c>
      <c r="F1783" s="84" t="s">
        <v>1548</v>
      </c>
    </row>
    <row r="1784" spans="1:6" hidden="1" x14ac:dyDescent="0.25">
      <c r="A1784" s="85" t="s">
        <v>3544</v>
      </c>
      <c r="B1784" s="85" t="s">
        <v>3544</v>
      </c>
      <c r="C1784" s="84" t="s">
        <v>922</v>
      </c>
      <c r="D1784" s="84" t="s">
        <v>1570</v>
      </c>
      <c r="E1784" s="84" t="s">
        <v>1399</v>
      </c>
      <c r="F1784" s="84" t="s">
        <v>1548</v>
      </c>
    </row>
    <row r="1785" spans="1:6" hidden="1" x14ac:dyDescent="0.25">
      <c r="A1785" s="85" t="s">
        <v>3545</v>
      </c>
      <c r="B1785" s="85" t="s">
        <v>3545</v>
      </c>
      <c r="C1785" s="84" t="s">
        <v>922</v>
      </c>
      <c r="D1785" s="84" t="s">
        <v>1571</v>
      </c>
      <c r="E1785" s="84" t="s">
        <v>1399</v>
      </c>
      <c r="F1785" s="84" t="s">
        <v>1548</v>
      </c>
    </row>
    <row r="1786" spans="1:6" hidden="1" x14ac:dyDescent="0.25">
      <c r="A1786" s="85" t="s">
        <v>3546</v>
      </c>
      <c r="B1786" s="85" t="s">
        <v>3546</v>
      </c>
      <c r="C1786" s="84" t="s">
        <v>922</v>
      </c>
      <c r="D1786" s="84" t="s">
        <v>1572</v>
      </c>
      <c r="E1786" s="84" t="s">
        <v>1399</v>
      </c>
      <c r="F1786" s="84" t="s">
        <v>1548</v>
      </c>
    </row>
    <row r="1787" spans="1:6" hidden="1" x14ac:dyDescent="0.25">
      <c r="A1787" s="85" t="s">
        <v>3547</v>
      </c>
      <c r="B1787" s="85" t="s">
        <v>3547</v>
      </c>
      <c r="C1787" s="84" t="s">
        <v>922</v>
      </c>
      <c r="D1787" s="84" t="s">
        <v>1573</v>
      </c>
      <c r="E1787" s="84" t="s">
        <v>1399</v>
      </c>
      <c r="F1787" s="84" t="s">
        <v>1548</v>
      </c>
    </row>
    <row r="1788" spans="1:6" hidden="1" x14ac:dyDescent="0.25">
      <c r="A1788" s="85" t="s">
        <v>3548</v>
      </c>
      <c r="B1788" s="85" t="s">
        <v>3548</v>
      </c>
      <c r="C1788" s="84" t="s">
        <v>922</v>
      </c>
      <c r="D1788" s="84" t="s">
        <v>1574</v>
      </c>
      <c r="E1788" s="84" t="s">
        <v>1399</v>
      </c>
      <c r="F1788" s="84" t="s">
        <v>1548</v>
      </c>
    </row>
    <row r="1789" spans="1:6" hidden="1" x14ac:dyDescent="0.25">
      <c r="A1789" s="85" t="s">
        <v>3549</v>
      </c>
      <c r="B1789" s="85" t="s">
        <v>3549</v>
      </c>
      <c r="C1789" s="84" t="s">
        <v>922</v>
      </c>
      <c r="D1789" s="84" t="s">
        <v>1575</v>
      </c>
      <c r="E1789" s="84" t="s">
        <v>1399</v>
      </c>
      <c r="F1789" s="84" t="s">
        <v>1548</v>
      </c>
    </row>
    <row r="1790" spans="1:6" hidden="1" x14ac:dyDescent="0.25">
      <c r="A1790" s="85" t="s">
        <v>3550</v>
      </c>
      <c r="B1790" s="85" t="s">
        <v>3550</v>
      </c>
      <c r="C1790" s="84" t="s">
        <v>922</v>
      </c>
      <c r="D1790" s="84" t="s">
        <v>1576</v>
      </c>
      <c r="E1790" s="84" t="s">
        <v>1399</v>
      </c>
      <c r="F1790" s="84" t="s">
        <v>1548</v>
      </c>
    </row>
    <row r="1791" spans="1:6" hidden="1" x14ac:dyDescent="0.25">
      <c r="A1791" s="85" t="s">
        <v>3551</v>
      </c>
      <c r="B1791" s="85" t="s">
        <v>3551</v>
      </c>
      <c r="C1791" s="84" t="s">
        <v>922</v>
      </c>
      <c r="D1791" s="84" t="s">
        <v>1577</v>
      </c>
      <c r="E1791" s="84" t="s">
        <v>1399</v>
      </c>
      <c r="F1791" s="84" t="s">
        <v>1548</v>
      </c>
    </row>
    <row r="1792" spans="1:6" hidden="1" x14ac:dyDescent="0.25">
      <c r="A1792" s="85" t="s">
        <v>3552</v>
      </c>
      <c r="B1792" s="85" t="s">
        <v>3552</v>
      </c>
      <c r="C1792" s="84" t="s">
        <v>922</v>
      </c>
      <c r="D1792" s="84" t="s">
        <v>1578</v>
      </c>
      <c r="E1792" s="84" t="s">
        <v>1399</v>
      </c>
      <c r="F1792" s="84" t="s">
        <v>1548</v>
      </c>
    </row>
    <row r="1793" spans="1:6" hidden="1" x14ac:dyDescent="0.25">
      <c r="A1793" s="85" t="s">
        <v>3553</v>
      </c>
      <c r="B1793" s="85" t="s">
        <v>3553</v>
      </c>
      <c r="C1793" s="84" t="s">
        <v>922</v>
      </c>
      <c r="D1793" s="84" t="s">
        <v>1579</v>
      </c>
      <c r="E1793" s="84" t="s">
        <v>1399</v>
      </c>
      <c r="F1793" s="84" t="s">
        <v>1548</v>
      </c>
    </row>
    <row r="1794" spans="1:6" hidden="1" x14ac:dyDescent="0.25">
      <c r="A1794" s="85">
        <v>92743</v>
      </c>
      <c r="B1794" s="85">
        <v>92743</v>
      </c>
      <c r="C1794" s="84" t="s">
        <v>2888</v>
      </c>
      <c r="D1794" s="84" t="s">
        <v>3554</v>
      </c>
      <c r="E1794" s="84" t="s">
        <v>1399</v>
      </c>
      <c r="F1794" s="84" t="s">
        <v>1548</v>
      </c>
    </row>
    <row r="1795" spans="1:6" hidden="1" x14ac:dyDescent="0.25">
      <c r="A1795" s="85">
        <v>92744</v>
      </c>
      <c r="B1795" s="85">
        <v>92744</v>
      </c>
      <c r="C1795" s="84" t="s">
        <v>2888</v>
      </c>
      <c r="D1795" s="84" t="s">
        <v>3555</v>
      </c>
      <c r="E1795" s="84" t="s">
        <v>1399</v>
      </c>
      <c r="F1795" s="84" t="s">
        <v>1548</v>
      </c>
    </row>
    <row r="1796" spans="1:6" hidden="1" x14ac:dyDescent="0.25">
      <c r="A1796" s="85">
        <v>92745</v>
      </c>
      <c r="B1796" s="85">
        <v>92745</v>
      </c>
      <c r="C1796" s="84" t="s">
        <v>2888</v>
      </c>
      <c r="D1796" s="84" t="s">
        <v>3555</v>
      </c>
      <c r="E1796" s="84" t="s">
        <v>1399</v>
      </c>
      <c r="F1796" s="84" t="s">
        <v>1548</v>
      </c>
    </row>
    <row r="1797" spans="1:6" hidden="1" x14ac:dyDescent="0.25">
      <c r="A1797" s="85" t="s">
        <v>1580</v>
      </c>
      <c r="B1797" s="85" t="s">
        <v>1580</v>
      </c>
      <c r="C1797" s="84" t="s">
        <v>958</v>
      </c>
      <c r="D1797" s="84" t="s">
        <v>1581</v>
      </c>
      <c r="E1797" s="84" t="s">
        <v>1399</v>
      </c>
      <c r="F1797" s="84" t="s">
        <v>1548</v>
      </c>
    </row>
    <row r="1798" spans="1:6" hidden="1" x14ac:dyDescent="0.25">
      <c r="A1798" s="85" t="s">
        <v>1582</v>
      </c>
      <c r="B1798" s="85" t="s">
        <v>1582</v>
      </c>
      <c r="C1798" s="84" t="s">
        <v>958</v>
      </c>
      <c r="D1798" s="84" t="s">
        <v>1583</v>
      </c>
      <c r="E1798" s="84" t="s">
        <v>1399</v>
      </c>
      <c r="F1798" s="84" t="s">
        <v>1548</v>
      </c>
    </row>
    <row r="1799" spans="1:6" hidden="1" x14ac:dyDescent="0.25">
      <c r="A1799" s="85" t="s">
        <v>3556</v>
      </c>
      <c r="B1799" s="85" t="s">
        <v>3556</v>
      </c>
      <c r="C1799" s="84" t="s">
        <v>958</v>
      </c>
      <c r="D1799" s="84" t="s">
        <v>3557</v>
      </c>
      <c r="E1799" s="84" t="s">
        <v>1399</v>
      </c>
      <c r="F1799" s="84" t="s">
        <v>1548</v>
      </c>
    </row>
    <row r="1800" spans="1:6" hidden="1" x14ac:dyDescent="0.25">
      <c r="A1800" s="85" t="s">
        <v>1584</v>
      </c>
      <c r="B1800" s="85" t="s">
        <v>1584</v>
      </c>
      <c r="C1800" s="84" t="s">
        <v>958</v>
      </c>
      <c r="D1800" s="84" t="s">
        <v>1585</v>
      </c>
      <c r="E1800" s="84" t="s">
        <v>1399</v>
      </c>
      <c r="F1800" s="84" t="s">
        <v>1548</v>
      </c>
    </row>
    <row r="1801" spans="1:6" hidden="1" x14ac:dyDescent="0.25">
      <c r="A1801" s="85" t="s">
        <v>1586</v>
      </c>
      <c r="B1801" s="85" t="s">
        <v>1586</v>
      </c>
      <c r="C1801" s="84" t="s">
        <v>958</v>
      </c>
      <c r="D1801" s="84" t="s">
        <v>1587</v>
      </c>
      <c r="E1801" s="84" t="s">
        <v>1399</v>
      </c>
      <c r="F1801" s="84" t="s">
        <v>1548</v>
      </c>
    </row>
    <row r="1802" spans="1:6" hidden="1" x14ac:dyDescent="0.25">
      <c r="A1802" s="85" t="s">
        <v>57</v>
      </c>
      <c r="B1802" s="85" t="s">
        <v>57</v>
      </c>
      <c r="C1802" s="84" t="s">
        <v>958</v>
      </c>
      <c r="D1802" s="84" t="s">
        <v>675</v>
      </c>
      <c r="E1802" s="84" t="s">
        <v>1399</v>
      </c>
      <c r="F1802" s="84" t="s">
        <v>1548</v>
      </c>
    </row>
    <row r="1803" spans="1:6" hidden="1" x14ac:dyDescent="0.25">
      <c r="A1803" s="85" t="s">
        <v>58</v>
      </c>
      <c r="B1803" s="85" t="s">
        <v>58</v>
      </c>
      <c r="C1803" s="84" t="s">
        <v>958</v>
      </c>
      <c r="D1803" s="84" t="s">
        <v>676</v>
      </c>
      <c r="E1803" s="84" t="s">
        <v>1399</v>
      </c>
      <c r="F1803" s="84" t="s">
        <v>1548</v>
      </c>
    </row>
    <row r="1804" spans="1:6" hidden="1" x14ac:dyDescent="0.25">
      <c r="A1804" s="85" t="s">
        <v>59</v>
      </c>
      <c r="B1804" s="85" t="s">
        <v>59</v>
      </c>
      <c r="C1804" s="84" t="s">
        <v>958</v>
      </c>
      <c r="D1804" s="84" t="s">
        <v>677</v>
      </c>
      <c r="E1804" s="84" t="s">
        <v>1399</v>
      </c>
      <c r="F1804" s="84" t="s">
        <v>1548</v>
      </c>
    </row>
    <row r="1805" spans="1:6" hidden="1" x14ac:dyDescent="0.25">
      <c r="A1805" s="85" t="s">
        <v>60</v>
      </c>
      <c r="B1805" s="85" t="s">
        <v>60</v>
      </c>
      <c r="C1805" s="84" t="s">
        <v>958</v>
      </c>
      <c r="D1805" s="84" t="s">
        <v>678</v>
      </c>
      <c r="E1805" s="84" t="s">
        <v>1399</v>
      </c>
      <c r="F1805" s="84" t="s">
        <v>1548</v>
      </c>
    </row>
    <row r="1806" spans="1:6" hidden="1" x14ac:dyDescent="0.25">
      <c r="A1806" s="85" t="s">
        <v>61</v>
      </c>
      <c r="B1806" s="85" t="s">
        <v>61</v>
      </c>
      <c r="C1806" s="84" t="s">
        <v>958</v>
      </c>
      <c r="D1806" s="84" t="s">
        <v>679</v>
      </c>
      <c r="E1806" s="84" t="s">
        <v>1399</v>
      </c>
      <c r="F1806" s="84" t="s">
        <v>1548</v>
      </c>
    </row>
    <row r="1807" spans="1:6" hidden="1" x14ac:dyDescent="0.25">
      <c r="A1807" s="85" t="s">
        <v>62</v>
      </c>
      <c r="B1807" s="85" t="s">
        <v>62</v>
      </c>
      <c r="C1807" s="84" t="s">
        <v>958</v>
      </c>
      <c r="D1807" s="84" t="s">
        <v>680</v>
      </c>
      <c r="E1807" s="84" t="s">
        <v>1399</v>
      </c>
      <c r="F1807" s="84" t="s">
        <v>1548</v>
      </c>
    </row>
    <row r="1808" spans="1:6" hidden="1" x14ac:dyDescent="0.25">
      <c r="A1808" s="85" t="s">
        <v>63</v>
      </c>
      <c r="B1808" s="85" t="s">
        <v>63</v>
      </c>
      <c r="C1808" s="84" t="s">
        <v>958</v>
      </c>
      <c r="D1808" s="84" t="s">
        <v>681</v>
      </c>
      <c r="E1808" s="84" t="s">
        <v>1399</v>
      </c>
      <c r="F1808" s="84" t="s">
        <v>1548</v>
      </c>
    </row>
    <row r="1809" spans="1:6" hidden="1" x14ac:dyDescent="0.25">
      <c r="A1809" s="85" t="s">
        <v>64</v>
      </c>
      <c r="B1809" s="85" t="s">
        <v>64</v>
      </c>
      <c r="C1809" s="84" t="s">
        <v>958</v>
      </c>
      <c r="D1809" s="84" t="s">
        <v>682</v>
      </c>
      <c r="E1809" s="84" t="s">
        <v>1399</v>
      </c>
      <c r="F1809" s="84" t="s">
        <v>1548</v>
      </c>
    </row>
    <row r="1810" spans="1:6" hidden="1" x14ac:dyDescent="0.25">
      <c r="A1810" s="85" t="s">
        <v>65</v>
      </c>
      <c r="B1810" s="85" t="s">
        <v>65</v>
      </c>
      <c r="C1810" s="84" t="s">
        <v>958</v>
      </c>
      <c r="D1810" s="84" t="s">
        <v>683</v>
      </c>
      <c r="E1810" s="84" t="s">
        <v>1399</v>
      </c>
      <c r="F1810" s="84" t="s">
        <v>1548</v>
      </c>
    </row>
    <row r="1811" spans="1:6" hidden="1" x14ac:dyDescent="0.25">
      <c r="A1811" s="85" t="s">
        <v>78</v>
      </c>
      <c r="B1811" s="85" t="s">
        <v>78</v>
      </c>
      <c r="C1811" s="84" t="s">
        <v>958</v>
      </c>
      <c r="D1811" s="84" t="s">
        <v>696</v>
      </c>
      <c r="E1811" s="84" t="s">
        <v>1399</v>
      </c>
      <c r="F1811" s="84" t="s">
        <v>1548</v>
      </c>
    </row>
    <row r="1812" spans="1:6" hidden="1" x14ac:dyDescent="0.25">
      <c r="A1812" s="85" t="s">
        <v>79</v>
      </c>
      <c r="B1812" s="85" t="s">
        <v>79</v>
      </c>
      <c r="C1812" s="84" t="s">
        <v>958</v>
      </c>
      <c r="D1812" s="84" t="s">
        <v>697</v>
      </c>
      <c r="E1812" s="84" t="s">
        <v>1399</v>
      </c>
      <c r="F1812" s="84" t="s">
        <v>1548</v>
      </c>
    </row>
    <row r="1813" spans="1:6" hidden="1" x14ac:dyDescent="0.25">
      <c r="A1813" s="85" t="s">
        <v>80</v>
      </c>
      <c r="B1813" s="85" t="s">
        <v>80</v>
      </c>
      <c r="C1813" s="84" t="s">
        <v>958</v>
      </c>
      <c r="D1813" s="84" t="s">
        <v>698</v>
      </c>
      <c r="E1813" s="84" t="s">
        <v>1399</v>
      </c>
      <c r="F1813" s="84" t="s">
        <v>1548</v>
      </c>
    </row>
    <row r="1814" spans="1:6" hidden="1" x14ac:dyDescent="0.25">
      <c r="A1814" s="85" t="s">
        <v>81</v>
      </c>
      <c r="B1814" s="85" t="s">
        <v>81</v>
      </c>
      <c r="C1814" s="84" t="s">
        <v>958</v>
      </c>
      <c r="D1814" s="84" t="s">
        <v>699</v>
      </c>
      <c r="E1814" s="84" t="s">
        <v>1399</v>
      </c>
      <c r="F1814" s="84" t="s">
        <v>1548</v>
      </c>
    </row>
    <row r="1815" spans="1:6" hidden="1" x14ac:dyDescent="0.25">
      <c r="A1815" s="85" t="s">
        <v>82</v>
      </c>
      <c r="B1815" s="85" t="s">
        <v>82</v>
      </c>
      <c r="C1815" s="84" t="s">
        <v>958</v>
      </c>
      <c r="D1815" s="84" t="s">
        <v>700</v>
      </c>
      <c r="E1815" s="84" t="s">
        <v>1399</v>
      </c>
      <c r="F1815" s="84" t="s">
        <v>1548</v>
      </c>
    </row>
    <row r="1816" spans="1:6" hidden="1" x14ac:dyDescent="0.25">
      <c r="A1816" s="85" t="s">
        <v>83</v>
      </c>
      <c r="B1816" s="85" t="s">
        <v>83</v>
      </c>
      <c r="C1816" s="84" t="s">
        <v>958</v>
      </c>
      <c r="D1816" s="84" t="s">
        <v>701</v>
      </c>
      <c r="E1816" s="84" t="s">
        <v>1399</v>
      </c>
      <c r="F1816" s="84" t="s">
        <v>1548</v>
      </c>
    </row>
    <row r="1817" spans="1:6" hidden="1" x14ac:dyDescent="0.25">
      <c r="A1817" s="85" t="s">
        <v>84</v>
      </c>
      <c r="B1817" s="85" t="s">
        <v>84</v>
      </c>
      <c r="C1817" s="84" t="s">
        <v>958</v>
      </c>
      <c r="D1817" s="84" t="s">
        <v>702</v>
      </c>
      <c r="E1817" s="84" t="s">
        <v>1399</v>
      </c>
      <c r="F1817" s="84" t="s">
        <v>1548</v>
      </c>
    </row>
    <row r="1818" spans="1:6" hidden="1" x14ac:dyDescent="0.25">
      <c r="A1818" s="85" t="s">
        <v>85</v>
      </c>
      <c r="B1818" s="85" t="s">
        <v>85</v>
      </c>
      <c r="C1818" s="84" t="s">
        <v>958</v>
      </c>
      <c r="D1818" s="84" t="s">
        <v>703</v>
      </c>
      <c r="E1818" s="84" t="s">
        <v>1399</v>
      </c>
      <c r="F1818" s="84" t="s">
        <v>1548</v>
      </c>
    </row>
    <row r="1819" spans="1:6" hidden="1" x14ac:dyDescent="0.25">
      <c r="A1819" s="85" t="s">
        <v>86</v>
      </c>
      <c r="B1819" s="85" t="s">
        <v>86</v>
      </c>
      <c r="C1819" s="84" t="s">
        <v>958</v>
      </c>
      <c r="D1819" s="84" t="s">
        <v>704</v>
      </c>
      <c r="E1819" s="84" t="s">
        <v>1399</v>
      </c>
      <c r="F1819" s="84" t="s">
        <v>1548</v>
      </c>
    </row>
    <row r="1820" spans="1:6" hidden="1" x14ac:dyDescent="0.25">
      <c r="A1820" s="85" t="s">
        <v>87</v>
      </c>
      <c r="B1820" s="85" t="s">
        <v>87</v>
      </c>
      <c r="C1820" s="84" t="s">
        <v>958</v>
      </c>
      <c r="D1820" s="84" t="s">
        <v>705</v>
      </c>
      <c r="E1820" s="84" t="s">
        <v>1399</v>
      </c>
      <c r="F1820" s="84" t="s">
        <v>1548</v>
      </c>
    </row>
    <row r="1821" spans="1:6" hidden="1" x14ac:dyDescent="0.25">
      <c r="A1821" s="85" t="s">
        <v>579</v>
      </c>
      <c r="B1821" s="85" t="s">
        <v>579</v>
      </c>
      <c r="C1821" s="84" t="s">
        <v>958</v>
      </c>
      <c r="D1821" s="84" t="s">
        <v>580</v>
      </c>
      <c r="E1821" s="84" t="s">
        <v>1399</v>
      </c>
      <c r="F1821" s="84" t="s">
        <v>1548</v>
      </c>
    </row>
    <row r="1822" spans="1:6" hidden="1" x14ac:dyDescent="0.25">
      <c r="A1822" s="85" t="s">
        <v>581</v>
      </c>
      <c r="B1822" s="85" t="s">
        <v>581</v>
      </c>
      <c r="C1822" s="84" t="s">
        <v>958</v>
      </c>
      <c r="D1822" s="84" t="s">
        <v>582</v>
      </c>
      <c r="E1822" s="84" t="s">
        <v>1399</v>
      </c>
      <c r="F1822" s="84" t="s">
        <v>1548</v>
      </c>
    </row>
    <row r="1823" spans="1:6" hidden="1" x14ac:dyDescent="0.25">
      <c r="A1823" s="85" t="s">
        <v>583</v>
      </c>
      <c r="B1823" s="85" t="s">
        <v>583</v>
      </c>
      <c r="C1823" s="84" t="s">
        <v>958</v>
      </c>
      <c r="D1823" s="84" t="s">
        <v>584</v>
      </c>
      <c r="E1823" s="84" t="s">
        <v>1399</v>
      </c>
      <c r="F1823" s="84" t="s">
        <v>1548</v>
      </c>
    </row>
    <row r="1824" spans="1:6" hidden="1" x14ac:dyDescent="0.25">
      <c r="A1824" s="85" t="s">
        <v>585</v>
      </c>
      <c r="B1824" s="85" t="s">
        <v>585</v>
      </c>
      <c r="C1824" s="84" t="s">
        <v>958</v>
      </c>
      <c r="D1824" s="84" t="s">
        <v>586</v>
      </c>
      <c r="E1824" s="84" t="s">
        <v>1399</v>
      </c>
      <c r="F1824" s="84" t="s">
        <v>1548</v>
      </c>
    </row>
    <row r="1825" spans="1:6" hidden="1" x14ac:dyDescent="0.25">
      <c r="A1825" s="85" t="s">
        <v>587</v>
      </c>
      <c r="B1825" s="85" t="s">
        <v>587</v>
      </c>
      <c r="C1825" s="84" t="s">
        <v>958</v>
      </c>
      <c r="D1825" s="84" t="s">
        <v>588</v>
      </c>
      <c r="E1825" s="84" t="s">
        <v>1399</v>
      </c>
      <c r="F1825" s="84" t="s">
        <v>1548</v>
      </c>
    </row>
    <row r="1826" spans="1:6" hidden="1" x14ac:dyDescent="0.25">
      <c r="A1826" s="85" t="s">
        <v>589</v>
      </c>
      <c r="B1826" s="85" t="s">
        <v>589</v>
      </c>
      <c r="C1826" s="84" t="s">
        <v>958</v>
      </c>
      <c r="D1826" s="84" t="s">
        <v>590</v>
      </c>
      <c r="E1826" s="84" t="s">
        <v>1399</v>
      </c>
      <c r="F1826" s="84" t="s">
        <v>1548</v>
      </c>
    </row>
    <row r="1827" spans="1:6" hidden="1" x14ac:dyDescent="0.25">
      <c r="A1827" s="85" t="s">
        <v>591</v>
      </c>
      <c r="B1827" s="85" t="s">
        <v>591</v>
      </c>
      <c r="C1827" s="84" t="s">
        <v>958</v>
      </c>
      <c r="D1827" s="84" t="s">
        <v>592</v>
      </c>
      <c r="E1827" s="84" t="s">
        <v>1399</v>
      </c>
      <c r="F1827" s="84" t="s">
        <v>1548</v>
      </c>
    </row>
    <row r="1828" spans="1:6" hidden="1" x14ac:dyDescent="0.25">
      <c r="A1828" s="85" t="s">
        <v>593</v>
      </c>
      <c r="B1828" s="85" t="s">
        <v>593</v>
      </c>
      <c r="C1828" s="84" t="s">
        <v>958</v>
      </c>
      <c r="D1828" s="84" t="s">
        <v>594</v>
      </c>
      <c r="E1828" s="84" t="s">
        <v>1399</v>
      </c>
      <c r="F1828" s="84" t="s">
        <v>1548</v>
      </c>
    </row>
    <row r="1829" spans="1:6" hidden="1" x14ac:dyDescent="0.25">
      <c r="A1829" s="85" t="s">
        <v>595</v>
      </c>
      <c r="B1829" s="85" t="s">
        <v>595</v>
      </c>
      <c r="C1829" s="84" t="s">
        <v>958</v>
      </c>
      <c r="D1829" s="84" t="s">
        <v>596</v>
      </c>
      <c r="E1829" s="84" t="s">
        <v>1399</v>
      </c>
      <c r="F1829" s="84" t="s">
        <v>1548</v>
      </c>
    </row>
    <row r="1830" spans="1:6" hidden="1" x14ac:dyDescent="0.25">
      <c r="A1830" s="85" t="s">
        <v>597</v>
      </c>
      <c r="B1830" s="85" t="s">
        <v>597</v>
      </c>
      <c r="C1830" s="84" t="s">
        <v>958</v>
      </c>
      <c r="D1830" s="84" t="s">
        <v>598</v>
      </c>
      <c r="E1830" s="84" t="s">
        <v>1399</v>
      </c>
      <c r="F1830" s="84" t="s">
        <v>1548</v>
      </c>
    </row>
    <row r="1831" spans="1:6" hidden="1" x14ac:dyDescent="0.25">
      <c r="A1831" s="85" t="s">
        <v>599</v>
      </c>
      <c r="B1831" s="85" t="s">
        <v>599</v>
      </c>
      <c r="C1831" s="84" t="s">
        <v>958</v>
      </c>
      <c r="D1831" s="84" t="s">
        <v>600</v>
      </c>
      <c r="E1831" s="84" t="s">
        <v>1399</v>
      </c>
      <c r="F1831" s="84" t="s">
        <v>1548</v>
      </c>
    </row>
    <row r="1832" spans="1:6" hidden="1" x14ac:dyDescent="0.25">
      <c r="A1832" s="85" t="s">
        <v>601</v>
      </c>
      <c r="B1832" s="85" t="s">
        <v>601</v>
      </c>
      <c r="C1832" s="84" t="s">
        <v>958</v>
      </c>
      <c r="D1832" s="84" t="s">
        <v>602</v>
      </c>
      <c r="E1832" s="84" t="s">
        <v>1399</v>
      </c>
      <c r="F1832" s="84" t="s">
        <v>1548</v>
      </c>
    </row>
    <row r="1833" spans="1:6" hidden="1" x14ac:dyDescent="0.25">
      <c r="A1833" s="85" t="s">
        <v>603</v>
      </c>
      <c r="B1833" s="85" t="s">
        <v>603</v>
      </c>
      <c r="C1833" s="84" t="s">
        <v>958</v>
      </c>
      <c r="D1833" s="84" t="s">
        <v>604</v>
      </c>
      <c r="E1833" s="84" t="s">
        <v>1399</v>
      </c>
      <c r="F1833" s="84" t="s">
        <v>1548</v>
      </c>
    </row>
    <row r="1834" spans="1:6" hidden="1" x14ac:dyDescent="0.25">
      <c r="A1834" s="85" t="s">
        <v>605</v>
      </c>
      <c r="B1834" s="85" t="s">
        <v>605</v>
      </c>
      <c r="C1834" s="84" t="s">
        <v>958</v>
      </c>
      <c r="D1834" s="84" t="s">
        <v>606</v>
      </c>
      <c r="E1834" s="84" t="s">
        <v>1399</v>
      </c>
      <c r="F1834" s="84" t="s">
        <v>1548</v>
      </c>
    </row>
    <row r="1835" spans="1:6" hidden="1" x14ac:dyDescent="0.25">
      <c r="A1835" s="85" t="s">
        <v>607</v>
      </c>
      <c r="B1835" s="85" t="s">
        <v>607</v>
      </c>
      <c r="C1835" s="84" t="s">
        <v>958</v>
      </c>
      <c r="D1835" s="84" t="s">
        <v>608</v>
      </c>
      <c r="E1835" s="84" t="s">
        <v>1399</v>
      </c>
      <c r="F1835" s="84" t="s">
        <v>1548</v>
      </c>
    </row>
    <row r="1836" spans="1:6" hidden="1" x14ac:dyDescent="0.25">
      <c r="A1836" s="85" t="s">
        <v>609</v>
      </c>
      <c r="B1836" s="85" t="s">
        <v>609</v>
      </c>
      <c r="C1836" s="84" t="s">
        <v>958</v>
      </c>
      <c r="D1836" s="84" t="s">
        <v>610</v>
      </c>
      <c r="E1836" s="84" t="s">
        <v>1399</v>
      </c>
      <c r="F1836" s="84" t="s">
        <v>1548</v>
      </c>
    </row>
    <row r="1837" spans="1:6" hidden="1" x14ac:dyDescent="0.25">
      <c r="A1837" s="85" t="s">
        <v>611</v>
      </c>
      <c r="B1837" s="85" t="s">
        <v>611</v>
      </c>
      <c r="C1837" s="84" t="s">
        <v>958</v>
      </c>
      <c r="D1837" s="84" t="s">
        <v>612</v>
      </c>
      <c r="E1837" s="84" t="s">
        <v>1399</v>
      </c>
      <c r="F1837" s="84" t="s">
        <v>1548</v>
      </c>
    </row>
    <row r="1838" spans="1:6" hidden="1" x14ac:dyDescent="0.25">
      <c r="A1838" s="85" t="s">
        <v>613</v>
      </c>
      <c r="B1838" s="85" t="s">
        <v>613</v>
      </c>
      <c r="C1838" s="84" t="s">
        <v>958</v>
      </c>
      <c r="D1838" s="84" t="s">
        <v>614</v>
      </c>
      <c r="E1838" s="84" t="s">
        <v>1399</v>
      </c>
      <c r="F1838" s="84" t="s">
        <v>1548</v>
      </c>
    </row>
    <row r="1839" spans="1:6" hidden="1" x14ac:dyDescent="0.25">
      <c r="A1839" s="85" t="s">
        <v>3558</v>
      </c>
      <c r="B1839" s="85" t="s">
        <v>3558</v>
      </c>
      <c r="C1839" s="84" t="s">
        <v>958</v>
      </c>
      <c r="D1839" s="84" t="s">
        <v>675</v>
      </c>
      <c r="E1839" s="84" t="s">
        <v>1399</v>
      </c>
      <c r="F1839" s="84" t="s">
        <v>1548</v>
      </c>
    </row>
    <row r="1840" spans="1:6" hidden="1" x14ac:dyDescent="0.25">
      <c r="A1840" s="85" t="s">
        <v>3559</v>
      </c>
      <c r="B1840" s="85" t="s">
        <v>3559</v>
      </c>
      <c r="C1840" s="84" t="s">
        <v>958</v>
      </c>
      <c r="D1840" s="84" t="s">
        <v>676</v>
      </c>
      <c r="E1840" s="84" t="s">
        <v>1399</v>
      </c>
      <c r="F1840" s="84" t="s">
        <v>1548</v>
      </c>
    </row>
    <row r="1841" spans="1:6" hidden="1" x14ac:dyDescent="0.25">
      <c r="A1841" s="85" t="s">
        <v>3560</v>
      </c>
      <c r="B1841" s="85" t="s">
        <v>3560</v>
      </c>
      <c r="C1841" s="84" t="s">
        <v>958</v>
      </c>
      <c r="D1841" s="84" t="s">
        <v>677</v>
      </c>
      <c r="E1841" s="84" t="s">
        <v>1399</v>
      </c>
      <c r="F1841" s="84" t="s">
        <v>1548</v>
      </c>
    </row>
    <row r="1842" spans="1:6" hidden="1" x14ac:dyDescent="0.25">
      <c r="A1842" s="85" t="s">
        <v>3561</v>
      </c>
      <c r="B1842" s="85" t="s">
        <v>3561</v>
      </c>
      <c r="C1842" s="84" t="s">
        <v>958</v>
      </c>
      <c r="D1842" s="84" t="s">
        <v>678</v>
      </c>
      <c r="E1842" s="84" t="s">
        <v>1399</v>
      </c>
      <c r="F1842" s="84" t="s">
        <v>1548</v>
      </c>
    </row>
    <row r="1843" spans="1:6" hidden="1" x14ac:dyDescent="0.25">
      <c r="A1843" s="85" t="s">
        <v>3562</v>
      </c>
      <c r="B1843" s="85" t="s">
        <v>3562</v>
      </c>
      <c r="C1843" s="84" t="s">
        <v>958</v>
      </c>
      <c r="D1843" s="84" t="s">
        <v>679</v>
      </c>
      <c r="E1843" s="84" t="s">
        <v>1399</v>
      </c>
      <c r="F1843" s="84" t="s">
        <v>1548</v>
      </c>
    </row>
    <row r="1844" spans="1:6" hidden="1" x14ac:dyDescent="0.25">
      <c r="A1844" s="85" t="s">
        <v>3563</v>
      </c>
      <c r="B1844" s="85" t="s">
        <v>3563</v>
      </c>
      <c r="C1844" s="84" t="s">
        <v>958</v>
      </c>
      <c r="D1844" s="84" t="s">
        <v>680</v>
      </c>
      <c r="E1844" s="84" t="s">
        <v>1399</v>
      </c>
      <c r="F1844" s="84" t="s">
        <v>1548</v>
      </c>
    </row>
    <row r="1845" spans="1:6" hidden="1" x14ac:dyDescent="0.25">
      <c r="A1845" s="85" t="s">
        <v>3564</v>
      </c>
      <c r="B1845" s="85" t="s">
        <v>3564</v>
      </c>
      <c r="C1845" s="84" t="s">
        <v>958</v>
      </c>
      <c r="D1845" s="84" t="s">
        <v>681</v>
      </c>
      <c r="E1845" s="84" t="s">
        <v>1399</v>
      </c>
      <c r="F1845" s="84" t="s">
        <v>1548</v>
      </c>
    </row>
    <row r="1846" spans="1:6" hidden="1" x14ac:dyDescent="0.25">
      <c r="A1846" s="85" t="s">
        <v>3565</v>
      </c>
      <c r="B1846" s="85" t="s">
        <v>3565</v>
      </c>
      <c r="C1846" s="84" t="s">
        <v>958</v>
      </c>
      <c r="D1846" s="84" t="s">
        <v>682</v>
      </c>
      <c r="E1846" s="84" t="s">
        <v>1399</v>
      </c>
      <c r="F1846" s="84" t="s">
        <v>1548</v>
      </c>
    </row>
    <row r="1847" spans="1:6" hidden="1" x14ac:dyDescent="0.25">
      <c r="A1847" s="85" t="s">
        <v>3566</v>
      </c>
      <c r="B1847" s="85" t="s">
        <v>3566</v>
      </c>
      <c r="C1847" s="84" t="s">
        <v>958</v>
      </c>
      <c r="D1847" s="84" t="s">
        <v>683</v>
      </c>
      <c r="E1847" s="84" t="s">
        <v>1399</v>
      </c>
      <c r="F1847" s="84" t="s">
        <v>1548</v>
      </c>
    </row>
    <row r="1848" spans="1:6" hidden="1" x14ac:dyDescent="0.25">
      <c r="A1848" s="85" t="s">
        <v>3567</v>
      </c>
      <c r="B1848" s="85" t="s">
        <v>3568</v>
      </c>
      <c r="C1848" s="84" t="s">
        <v>922</v>
      </c>
      <c r="D1848" s="84" t="s">
        <v>3569</v>
      </c>
      <c r="E1848" s="84" t="s">
        <v>1399</v>
      </c>
      <c r="F1848" s="84" t="s">
        <v>1590</v>
      </c>
    </row>
    <row r="1849" spans="1:6" hidden="1" x14ac:dyDescent="0.25">
      <c r="A1849" s="85" t="s">
        <v>1588</v>
      </c>
      <c r="B1849" s="85" t="s">
        <v>1588</v>
      </c>
      <c r="C1849" s="84" t="s">
        <v>958</v>
      </c>
      <c r="D1849" s="84" t="s">
        <v>1589</v>
      </c>
      <c r="E1849" s="84" t="s">
        <v>1399</v>
      </c>
      <c r="F1849" s="84" t="s">
        <v>1590</v>
      </c>
    </row>
    <row r="1850" spans="1:6" hidden="1" x14ac:dyDescent="0.25">
      <c r="A1850" s="85" t="s">
        <v>3570</v>
      </c>
      <c r="B1850" s="85" t="s">
        <v>3570</v>
      </c>
      <c r="C1850" s="84" t="s">
        <v>922</v>
      </c>
      <c r="D1850" s="84" t="s">
        <v>3571</v>
      </c>
      <c r="E1850" s="84" t="s">
        <v>1399</v>
      </c>
      <c r="F1850" s="84" t="s">
        <v>1592</v>
      </c>
    </row>
    <row r="1851" spans="1:6" hidden="1" x14ac:dyDescent="0.25">
      <c r="A1851" s="85" t="s">
        <v>3572</v>
      </c>
      <c r="B1851" s="85" t="s">
        <v>3572</v>
      </c>
      <c r="C1851" s="84" t="s">
        <v>922</v>
      </c>
      <c r="D1851" s="84" t="s">
        <v>3573</v>
      </c>
      <c r="E1851" s="84" t="s">
        <v>1399</v>
      </c>
      <c r="F1851" s="84" t="s">
        <v>1592</v>
      </c>
    </row>
    <row r="1852" spans="1:6" hidden="1" x14ac:dyDescent="0.25">
      <c r="A1852" s="85" t="s">
        <v>3574</v>
      </c>
      <c r="B1852" s="85" t="s">
        <v>3574</v>
      </c>
      <c r="C1852" s="84" t="s">
        <v>922</v>
      </c>
      <c r="D1852" s="84" t="s">
        <v>3575</v>
      </c>
      <c r="E1852" s="84" t="s">
        <v>1399</v>
      </c>
      <c r="F1852" s="84" t="s">
        <v>1592</v>
      </c>
    </row>
    <row r="1853" spans="1:6" hidden="1" x14ac:dyDescent="0.25">
      <c r="A1853" s="85" t="s">
        <v>3576</v>
      </c>
      <c r="B1853" s="85" t="s">
        <v>3576</v>
      </c>
      <c r="C1853" s="84" t="s">
        <v>922</v>
      </c>
      <c r="D1853" s="84" t="s">
        <v>3577</v>
      </c>
      <c r="E1853" s="84" t="s">
        <v>1399</v>
      </c>
      <c r="F1853" s="84" t="s">
        <v>1592</v>
      </c>
    </row>
    <row r="1854" spans="1:6" hidden="1" x14ac:dyDescent="0.25">
      <c r="A1854" s="85" t="s">
        <v>3578</v>
      </c>
      <c r="B1854" s="85" t="s">
        <v>3578</v>
      </c>
      <c r="C1854" s="84" t="s">
        <v>922</v>
      </c>
      <c r="D1854" s="84" t="s">
        <v>3579</v>
      </c>
      <c r="E1854" s="84" t="s">
        <v>1399</v>
      </c>
      <c r="F1854" s="84" t="s">
        <v>1592</v>
      </c>
    </row>
    <row r="1855" spans="1:6" hidden="1" x14ac:dyDescent="0.25">
      <c r="A1855" s="85" t="s">
        <v>3580</v>
      </c>
      <c r="B1855" s="85" t="s">
        <v>3580</v>
      </c>
      <c r="C1855" s="84" t="s">
        <v>922</v>
      </c>
      <c r="D1855" s="84" t="s">
        <v>3581</v>
      </c>
      <c r="E1855" s="84" t="s">
        <v>1399</v>
      </c>
      <c r="F1855" s="84" t="s">
        <v>1592</v>
      </c>
    </row>
    <row r="1856" spans="1:6" hidden="1" x14ac:dyDescent="0.25">
      <c r="A1856" s="85" t="s">
        <v>3582</v>
      </c>
      <c r="B1856" s="85" t="s">
        <v>3582</v>
      </c>
      <c r="C1856" s="84" t="s">
        <v>922</v>
      </c>
      <c r="D1856" s="84" t="s">
        <v>3583</v>
      </c>
      <c r="E1856" s="84" t="s">
        <v>1399</v>
      </c>
      <c r="F1856" s="84" t="s">
        <v>1592</v>
      </c>
    </row>
    <row r="1857" spans="1:6" hidden="1" x14ac:dyDescent="0.25">
      <c r="A1857" s="85" t="s">
        <v>3584</v>
      </c>
      <c r="B1857" s="85" t="s">
        <v>3584</v>
      </c>
      <c r="C1857" s="84" t="s">
        <v>922</v>
      </c>
      <c r="D1857" s="84" t="s">
        <v>3585</v>
      </c>
      <c r="E1857" s="84" t="s">
        <v>1399</v>
      </c>
      <c r="F1857" s="84" t="s">
        <v>1592</v>
      </c>
    </row>
    <row r="1858" spans="1:6" hidden="1" x14ac:dyDescent="0.25">
      <c r="A1858" s="85" t="s">
        <v>3586</v>
      </c>
      <c r="B1858" s="85" t="s">
        <v>3586</v>
      </c>
      <c r="C1858" s="84" t="s">
        <v>922</v>
      </c>
      <c r="D1858" s="84" t="s">
        <v>3587</v>
      </c>
      <c r="E1858" s="84" t="s">
        <v>1399</v>
      </c>
      <c r="F1858" s="84" t="s">
        <v>1592</v>
      </c>
    </row>
    <row r="1859" spans="1:6" hidden="1" x14ac:dyDescent="0.25">
      <c r="A1859" s="85" t="s">
        <v>3588</v>
      </c>
      <c r="B1859" s="85" t="s">
        <v>3588</v>
      </c>
      <c r="C1859" s="84" t="s">
        <v>922</v>
      </c>
      <c r="D1859" s="84" t="s">
        <v>3589</v>
      </c>
      <c r="E1859" s="84" t="s">
        <v>1399</v>
      </c>
      <c r="F1859" s="84" t="s">
        <v>1592</v>
      </c>
    </row>
    <row r="1860" spans="1:6" hidden="1" x14ac:dyDescent="0.25">
      <c r="A1860" s="85" t="s">
        <v>3590</v>
      </c>
      <c r="B1860" s="85" t="s">
        <v>3590</v>
      </c>
      <c r="C1860" s="84" t="s">
        <v>922</v>
      </c>
      <c r="D1860" s="84" t="s">
        <v>3591</v>
      </c>
      <c r="E1860" s="84" t="s">
        <v>1399</v>
      </c>
      <c r="F1860" s="84" t="s">
        <v>1592</v>
      </c>
    </row>
    <row r="1861" spans="1:6" hidden="1" x14ac:dyDescent="0.25">
      <c r="A1861" s="85" t="s">
        <v>3592</v>
      </c>
      <c r="B1861" s="85" t="s">
        <v>3592</v>
      </c>
      <c r="C1861" s="84" t="s">
        <v>922</v>
      </c>
      <c r="D1861" s="84" t="s">
        <v>3593</v>
      </c>
      <c r="E1861" s="84" t="s">
        <v>1399</v>
      </c>
      <c r="F1861" s="84" t="s">
        <v>1592</v>
      </c>
    </row>
    <row r="1862" spans="1:6" hidden="1" x14ac:dyDescent="0.25">
      <c r="A1862" s="85" t="s">
        <v>3594</v>
      </c>
      <c r="B1862" s="85" t="s">
        <v>3594</v>
      </c>
      <c r="C1862" s="84" t="s">
        <v>922</v>
      </c>
      <c r="D1862" s="84" t="s">
        <v>3595</v>
      </c>
      <c r="E1862" s="84" t="s">
        <v>1399</v>
      </c>
      <c r="F1862" s="84" t="s">
        <v>1592</v>
      </c>
    </row>
    <row r="1863" spans="1:6" hidden="1" x14ac:dyDescent="0.25">
      <c r="A1863" s="85" t="s">
        <v>3596</v>
      </c>
      <c r="B1863" s="85" t="s">
        <v>3596</v>
      </c>
      <c r="C1863" s="84" t="s">
        <v>922</v>
      </c>
      <c r="D1863" s="84" t="s">
        <v>3597</v>
      </c>
      <c r="E1863" s="84" t="s">
        <v>1399</v>
      </c>
      <c r="F1863" s="84" t="s">
        <v>1592</v>
      </c>
    </row>
    <row r="1864" spans="1:6" hidden="1" x14ac:dyDescent="0.25">
      <c r="A1864" s="85" t="s">
        <v>3598</v>
      </c>
      <c r="B1864" s="85" t="s">
        <v>3599</v>
      </c>
      <c r="C1864" s="84" t="s">
        <v>922</v>
      </c>
      <c r="D1864" s="84" t="s">
        <v>3600</v>
      </c>
      <c r="E1864" s="84" t="s">
        <v>1399</v>
      </c>
      <c r="F1864" s="84" t="s">
        <v>1592</v>
      </c>
    </row>
    <row r="1865" spans="1:6" hidden="1" x14ac:dyDescent="0.25">
      <c r="A1865" s="85" t="s">
        <v>3601</v>
      </c>
      <c r="B1865" s="85" t="s">
        <v>3602</v>
      </c>
      <c r="C1865" s="84" t="s">
        <v>922</v>
      </c>
      <c r="D1865" s="84" t="s">
        <v>3603</v>
      </c>
      <c r="E1865" s="84" t="s">
        <v>1399</v>
      </c>
      <c r="F1865" s="84" t="s">
        <v>1592</v>
      </c>
    </row>
    <row r="1866" spans="1:6" hidden="1" x14ac:dyDescent="0.25">
      <c r="A1866" s="85" t="s">
        <v>3604</v>
      </c>
      <c r="B1866" s="85" t="s">
        <v>3605</v>
      </c>
      <c r="C1866" s="84" t="s">
        <v>922</v>
      </c>
      <c r="D1866" s="84" t="s">
        <v>3606</v>
      </c>
      <c r="E1866" s="84" t="s">
        <v>1399</v>
      </c>
      <c r="F1866" s="84" t="s">
        <v>1592</v>
      </c>
    </row>
    <row r="1867" spans="1:6" hidden="1" x14ac:dyDescent="0.25">
      <c r="A1867" s="85" t="s">
        <v>3607</v>
      </c>
      <c r="B1867" s="85" t="s">
        <v>3608</v>
      </c>
      <c r="C1867" s="84" t="s">
        <v>922</v>
      </c>
      <c r="D1867" s="84" t="s">
        <v>3609</v>
      </c>
      <c r="E1867" s="84" t="s">
        <v>1399</v>
      </c>
      <c r="F1867" s="84" t="s">
        <v>1592</v>
      </c>
    </row>
    <row r="1868" spans="1:6" hidden="1" x14ac:dyDescent="0.25">
      <c r="A1868" s="85" t="s">
        <v>185</v>
      </c>
      <c r="B1868" s="85" t="s">
        <v>3610</v>
      </c>
      <c r="C1868" s="84" t="s">
        <v>922</v>
      </c>
      <c r="D1868" s="84" t="s">
        <v>1591</v>
      </c>
      <c r="E1868" s="84" t="s">
        <v>1399</v>
      </c>
      <c r="F1868" s="84" t="s">
        <v>1592</v>
      </c>
    </row>
    <row r="1869" spans="1:6" hidden="1" x14ac:dyDescent="0.25">
      <c r="A1869" s="85" t="s">
        <v>186</v>
      </c>
      <c r="B1869" s="85" t="s">
        <v>3611</v>
      </c>
      <c r="C1869" s="84" t="s">
        <v>922</v>
      </c>
      <c r="D1869" s="84" t="s">
        <v>1593</v>
      </c>
      <c r="E1869" s="84" t="s">
        <v>1399</v>
      </c>
      <c r="F1869" s="84" t="s">
        <v>1592</v>
      </c>
    </row>
    <row r="1870" spans="1:6" hidden="1" x14ac:dyDescent="0.25">
      <c r="A1870" s="85" t="s">
        <v>187</v>
      </c>
      <c r="B1870" s="85" t="s">
        <v>3612</v>
      </c>
      <c r="C1870" s="84" t="s">
        <v>922</v>
      </c>
      <c r="D1870" s="84" t="s">
        <v>1594</v>
      </c>
      <c r="E1870" s="84" t="s">
        <v>1399</v>
      </c>
      <c r="F1870" s="84" t="s">
        <v>1592</v>
      </c>
    </row>
    <row r="1871" spans="1:6" hidden="1" x14ac:dyDescent="0.25">
      <c r="A1871" s="85" t="s">
        <v>188</v>
      </c>
      <c r="B1871" s="85" t="s">
        <v>3613</v>
      </c>
      <c r="C1871" s="84" t="s">
        <v>922</v>
      </c>
      <c r="D1871" s="84" t="s">
        <v>1595</v>
      </c>
      <c r="E1871" s="84" t="s">
        <v>1399</v>
      </c>
      <c r="F1871" s="84" t="s">
        <v>1592</v>
      </c>
    </row>
    <row r="1872" spans="1:6" hidden="1" x14ac:dyDescent="0.25">
      <c r="A1872" s="85" t="s">
        <v>189</v>
      </c>
      <c r="B1872" s="85" t="s">
        <v>3614</v>
      </c>
      <c r="C1872" s="84" t="s">
        <v>922</v>
      </c>
      <c r="D1872" s="84" t="s">
        <v>1596</v>
      </c>
      <c r="E1872" s="84" t="s">
        <v>1399</v>
      </c>
      <c r="F1872" s="84" t="s">
        <v>1592</v>
      </c>
    </row>
    <row r="1873" spans="1:6" hidden="1" x14ac:dyDescent="0.25">
      <c r="A1873" s="85" t="s">
        <v>837</v>
      </c>
      <c r="B1873" s="85" t="s">
        <v>3615</v>
      </c>
      <c r="C1873" s="84" t="s">
        <v>922</v>
      </c>
      <c r="D1873" s="84" t="s">
        <v>1597</v>
      </c>
      <c r="E1873" s="84" t="s">
        <v>1399</v>
      </c>
      <c r="F1873" s="84" t="s">
        <v>1592</v>
      </c>
    </row>
    <row r="1874" spans="1:6" hidden="1" x14ac:dyDescent="0.25">
      <c r="A1874" s="85" t="s">
        <v>838</v>
      </c>
      <c r="B1874" s="85" t="s">
        <v>3616</v>
      </c>
      <c r="C1874" s="84" t="s">
        <v>922</v>
      </c>
      <c r="D1874" s="84" t="s">
        <v>1598</v>
      </c>
      <c r="E1874" s="84" t="s">
        <v>1399</v>
      </c>
      <c r="F1874" s="84" t="s">
        <v>1592</v>
      </c>
    </row>
    <row r="1875" spans="1:6" hidden="1" x14ac:dyDescent="0.25">
      <c r="A1875" s="85" t="s">
        <v>839</v>
      </c>
      <c r="B1875" s="85" t="s">
        <v>3617</v>
      </c>
      <c r="C1875" s="84" t="s">
        <v>922</v>
      </c>
      <c r="D1875" s="84" t="s">
        <v>1599</v>
      </c>
      <c r="E1875" s="84" t="s">
        <v>1399</v>
      </c>
      <c r="F1875" s="84" t="s">
        <v>1592</v>
      </c>
    </row>
    <row r="1876" spans="1:6" hidden="1" x14ac:dyDescent="0.25">
      <c r="A1876" s="85" t="s">
        <v>3618</v>
      </c>
      <c r="B1876" s="85" t="s">
        <v>3619</v>
      </c>
      <c r="C1876" s="84" t="s">
        <v>922</v>
      </c>
      <c r="D1876" s="84" t="s">
        <v>3620</v>
      </c>
      <c r="E1876" s="84" t="s">
        <v>1399</v>
      </c>
      <c r="F1876" s="84" t="s">
        <v>1592</v>
      </c>
    </row>
    <row r="1877" spans="1:6" hidden="1" x14ac:dyDescent="0.25">
      <c r="A1877" s="85" t="s">
        <v>190</v>
      </c>
      <c r="B1877" s="85" t="s">
        <v>3621</v>
      </c>
      <c r="C1877" s="84" t="s">
        <v>922</v>
      </c>
      <c r="D1877" s="84" t="s">
        <v>1600</v>
      </c>
      <c r="E1877" s="84" t="s">
        <v>1399</v>
      </c>
      <c r="F1877" s="84" t="s">
        <v>1592</v>
      </c>
    </row>
    <row r="1878" spans="1:6" hidden="1" x14ac:dyDescent="0.25">
      <c r="A1878" s="85" t="s">
        <v>191</v>
      </c>
      <c r="B1878" s="85" t="s">
        <v>3622</v>
      </c>
      <c r="C1878" s="84" t="s">
        <v>922</v>
      </c>
      <c r="D1878" s="84" t="s">
        <v>1601</v>
      </c>
      <c r="E1878" s="84" t="s">
        <v>1399</v>
      </c>
      <c r="F1878" s="84" t="s">
        <v>1592</v>
      </c>
    </row>
    <row r="1879" spans="1:6" hidden="1" x14ac:dyDescent="0.25">
      <c r="A1879" s="85" t="s">
        <v>192</v>
      </c>
      <c r="B1879" s="85" t="s">
        <v>3623</v>
      </c>
      <c r="C1879" s="84" t="s">
        <v>922</v>
      </c>
      <c r="D1879" s="84" t="s">
        <v>1602</v>
      </c>
      <c r="E1879" s="84" t="s">
        <v>1399</v>
      </c>
      <c r="F1879" s="84" t="s">
        <v>1592</v>
      </c>
    </row>
    <row r="1880" spans="1:6" hidden="1" x14ac:dyDescent="0.25">
      <c r="A1880" s="85" t="s">
        <v>840</v>
      </c>
      <c r="B1880" s="85" t="s">
        <v>3624</v>
      </c>
      <c r="C1880" s="84" t="s">
        <v>922</v>
      </c>
      <c r="D1880" s="84" t="s">
        <v>1603</v>
      </c>
      <c r="E1880" s="84" t="s">
        <v>1399</v>
      </c>
      <c r="F1880" s="84" t="s">
        <v>1592</v>
      </c>
    </row>
    <row r="1881" spans="1:6" hidden="1" x14ac:dyDescent="0.25">
      <c r="A1881" s="85" t="s">
        <v>841</v>
      </c>
      <c r="B1881" s="85" t="s">
        <v>3625</v>
      </c>
      <c r="C1881" s="84" t="s">
        <v>922</v>
      </c>
      <c r="D1881" s="84" t="s">
        <v>1604</v>
      </c>
      <c r="E1881" s="84" t="s">
        <v>1399</v>
      </c>
      <c r="F1881" s="84" t="s">
        <v>1592</v>
      </c>
    </row>
    <row r="1882" spans="1:6" hidden="1" x14ac:dyDescent="0.25">
      <c r="A1882" s="85" t="s">
        <v>842</v>
      </c>
      <c r="B1882" s="85" t="s">
        <v>3626</v>
      </c>
      <c r="C1882" s="84" t="s">
        <v>922</v>
      </c>
      <c r="D1882" s="84" t="s">
        <v>1605</v>
      </c>
      <c r="E1882" s="84" t="s">
        <v>1399</v>
      </c>
      <c r="F1882" s="84" t="s">
        <v>1592</v>
      </c>
    </row>
    <row r="1883" spans="1:6" hidden="1" x14ac:dyDescent="0.25">
      <c r="A1883" s="85" t="s">
        <v>3627</v>
      </c>
      <c r="B1883" s="85" t="s">
        <v>3628</v>
      </c>
      <c r="C1883" s="84" t="s">
        <v>922</v>
      </c>
      <c r="D1883" s="84" t="s">
        <v>3629</v>
      </c>
      <c r="E1883" s="84" t="s">
        <v>1399</v>
      </c>
      <c r="F1883" s="84" t="s">
        <v>1592</v>
      </c>
    </row>
    <row r="1884" spans="1:6" hidden="1" x14ac:dyDescent="0.25">
      <c r="A1884" s="85" t="s">
        <v>3630</v>
      </c>
      <c r="B1884" s="85" t="s">
        <v>3631</v>
      </c>
      <c r="C1884" s="84" t="s">
        <v>922</v>
      </c>
      <c r="D1884" s="84" t="s">
        <v>3632</v>
      </c>
      <c r="E1884" s="84" t="s">
        <v>1399</v>
      </c>
      <c r="F1884" s="84" t="s">
        <v>1592</v>
      </c>
    </row>
    <row r="1885" spans="1:6" hidden="1" x14ac:dyDescent="0.25">
      <c r="A1885" s="85" t="s">
        <v>1606</v>
      </c>
      <c r="B1885" s="85" t="s">
        <v>3633</v>
      </c>
      <c r="C1885" s="84" t="s">
        <v>922</v>
      </c>
      <c r="D1885" s="84" t="s">
        <v>1607</v>
      </c>
      <c r="E1885" s="84" t="s">
        <v>1399</v>
      </c>
      <c r="F1885" s="84" t="s">
        <v>1592</v>
      </c>
    </row>
    <row r="1886" spans="1:6" hidden="1" x14ac:dyDescent="0.25">
      <c r="A1886" s="85" t="s">
        <v>193</v>
      </c>
      <c r="B1886" s="85" t="s">
        <v>3634</v>
      </c>
      <c r="C1886" s="84" t="s">
        <v>922</v>
      </c>
      <c r="D1886" s="84" t="s">
        <v>1608</v>
      </c>
      <c r="E1886" s="84" t="s">
        <v>1399</v>
      </c>
      <c r="F1886" s="84" t="s">
        <v>1592</v>
      </c>
    </row>
    <row r="1887" spans="1:6" hidden="1" x14ac:dyDescent="0.25">
      <c r="A1887" s="85" t="s">
        <v>1609</v>
      </c>
      <c r="B1887" s="85" t="s">
        <v>3635</v>
      </c>
      <c r="C1887" s="84" t="s">
        <v>922</v>
      </c>
      <c r="D1887" s="84" t="s">
        <v>1610</v>
      </c>
      <c r="E1887" s="84" t="s">
        <v>1399</v>
      </c>
      <c r="F1887" s="84" t="s">
        <v>1592</v>
      </c>
    </row>
    <row r="1888" spans="1:6" hidden="1" x14ac:dyDescent="0.25">
      <c r="A1888" s="85" t="s">
        <v>194</v>
      </c>
      <c r="B1888" s="85" t="s">
        <v>3636</v>
      </c>
      <c r="C1888" s="84" t="s">
        <v>922</v>
      </c>
      <c r="D1888" s="84" t="s">
        <v>1611</v>
      </c>
      <c r="E1888" s="84" t="s">
        <v>1399</v>
      </c>
      <c r="F1888" s="84" t="s">
        <v>1592</v>
      </c>
    </row>
    <row r="1889" spans="1:6" hidden="1" x14ac:dyDescent="0.25">
      <c r="A1889" s="85" t="s">
        <v>195</v>
      </c>
      <c r="B1889" s="85" t="s">
        <v>3637</v>
      </c>
      <c r="C1889" s="84" t="s">
        <v>922</v>
      </c>
      <c r="D1889" s="84" t="s">
        <v>1612</v>
      </c>
      <c r="E1889" s="84" t="s">
        <v>1399</v>
      </c>
      <c r="F1889" s="84" t="s">
        <v>1592</v>
      </c>
    </row>
    <row r="1890" spans="1:6" hidden="1" x14ac:dyDescent="0.25">
      <c r="A1890" s="85" t="s">
        <v>1613</v>
      </c>
      <c r="B1890" s="85" t="s">
        <v>3638</v>
      </c>
      <c r="C1890" s="84" t="s">
        <v>922</v>
      </c>
      <c r="D1890" s="84" t="s">
        <v>1614</v>
      </c>
      <c r="E1890" s="84" t="s">
        <v>1399</v>
      </c>
      <c r="F1890" s="84" t="s">
        <v>1592</v>
      </c>
    </row>
    <row r="1891" spans="1:6" hidden="1" x14ac:dyDescent="0.25">
      <c r="A1891" s="85" t="s">
        <v>1615</v>
      </c>
      <c r="B1891" s="85" t="s">
        <v>3639</v>
      </c>
      <c r="C1891" s="84" t="s">
        <v>922</v>
      </c>
      <c r="D1891" s="84" t="s">
        <v>1616</v>
      </c>
      <c r="E1891" s="84" t="s">
        <v>1399</v>
      </c>
      <c r="F1891" s="84" t="s">
        <v>1592</v>
      </c>
    </row>
    <row r="1892" spans="1:6" hidden="1" x14ac:dyDescent="0.25">
      <c r="A1892" s="85" t="s">
        <v>1617</v>
      </c>
      <c r="B1892" s="85" t="s">
        <v>3640</v>
      </c>
      <c r="C1892" s="84" t="s">
        <v>922</v>
      </c>
      <c r="D1892" s="84" t="s">
        <v>1618</v>
      </c>
      <c r="E1892" s="84" t="s">
        <v>1399</v>
      </c>
      <c r="F1892" s="84" t="s">
        <v>1592</v>
      </c>
    </row>
    <row r="1893" spans="1:6" hidden="1" x14ac:dyDescent="0.25">
      <c r="A1893" s="85" t="s">
        <v>843</v>
      </c>
      <c r="B1893" s="85" t="s">
        <v>3641</v>
      </c>
      <c r="C1893" s="84" t="s">
        <v>922</v>
      </c>
      <c r="D1893" s="84" t="s">
        <v>1619</v>
      </c>
      <c r="E1893" s="84" t="s">
        <v>1399</v>
      </c>
      <c r="F1893" s="84" t="s">
        <v>1592</v>
      </c>
    </row>
    <row r="1894" spans="1:6" hidden="1" x14ac:dyDescent="0.25">
      <c r="A1894" s="85" t="s">
        <v>844</v>
      </c>
      <c r="B1894" s="85" t="s">
        <v>3642</v>
      </c>
      <c r="C1894" s="84" t="s">
        <v>922</v>
      </c>
      <c r="D1894" s="84" t="s">
        <v>1620</v>
      </c>
      <c r="E1894" s="84" t="s">
        <v>1399</v>
      </c>
      <c r="F1894" s="84" t="s">
        <v>1592</v>
      </c>
    </row>
    <row r="1895" spans="1:6" hidden="1" x14ac:dyDescent="0.25">
      <c r="A1895" s="85" t="s">
        <v>845</v>
      </c>
      <c r="B1895" s="85" t="s">
        <v>3643</v>
      </c>
      <c r="C1895" s="84" t="s">
        <v>922</v>
      </c>
      <c r="D1895" s="84" t="s">
        <v>1621</v>
      </c>
      <c r="E1895" s="84" t="s">
        <v>1399</v>
      </c>
      <c r="F1895" s="84" t="s">
        <v>1592</v>
      </c>
    </row>
    <row r="1896" spans="1:6" hidden="1" x14ac:dyDescent="0.25">
      <c r="A1896" s="85" t="s">
        <v>3644</v>
      </c>
      <c r="B1896" s="85" t="s">
        <v>3645</v>
      </c>
      <c r="C1896" s="84" t="s">
        <v>922</v>
      </c>
      <c r="D1896" s="84" t="s">
        <v>3646</v>
      </c>
      <c r="E1896" s="84" t="s">
        <v>1399</v>
      </c>
      <c r="F1896" s="84" t="s">
        <v>1592</v>
      </c>
    </row>
    <row r="1897" spans="1:6" hidden="1" x14ac:dyDescent="0.25">
      <c r="A1897" s="85" t="s">
        <v>3647</v>
      </c>
      <c r="B1897" s="85" t="s">
        <v>3647</v>
      </c>
      <c r="C1897" s="84" t="s">
        <v>922</v>
      </c>
      <c r="D1897" s="84" t="s">
        <v>3600</v>
      </c>
      <c r="E1897" s="84" t="s">
        <v>1399</v>
      </c>
      <c r="F1897" s="84" t="s">
        <v>1592</v>
      </c>
    </row>
    <row r="1898" spans="1:6" hidden="1" x14ac:dyDescent="0.25">
      <c r="A1898" s="85" t="s">
        <v>3648</v>
      </c>
      <c r="B1898" s="85" t="s">
        <v>3648</v>
      </c>
      <c r="C1898" s="84" t="s">
        <v>922</v>
      </c>
      <c r="D1898" s="84" t="s">
        <v>3603</v>
      </c>
      <c r="E1898" s="84" t="s">
        <v>1399</v>
      </c>
      <c r="F1898" s="84" t="s">
        <v>1592</v>
      </c>
    </row>
    <row r="1899" spans="1:6" hidden="1" x14ac:dyDescent="0.25">
      <c r="A1899" s="85" t="s">
        <v>3649</v>
      </c>
      <c r="B1899" s="85" t="s">
        <v>3649</v>
      </c>
      <c r="C1899" s="84" t="s">
        <v>922</v>
      </c>
      <c r="D1899" s="84" t="s">
        <v>3606</v>
      </c>
      <c r="E1899" s="84" t="s">
        <v>1399</v>
      </c>
      <c r="F1899" s="84" t="s">
        <v>1592</v>
      </c>
    </row>
    <row r="1900" spans="1:6" hidden="1" x14ac:dyDescent="0.25">
      <c r="A1900" s="85" t="s">
        <v>3650</v>
      </c>
      <c r="B1900" s="85" t="s">
        <v>3650</v>
      </c>
      <c r="C1900" s="84" t="s">
        <v>922</v>
      </c>
      <c r="D1900" s="84" t="s">
        <v>3609</v>
      </c>
      <c r="E1900" s="84" t="s">
        <v>1399</v>
      </c>
      <c r="F1900" s="84" t="s">
        <v>1592</v>
      </c>
    </row>
    <row r="1901" spans="1:6" hidden="1" x14ac:dyDescent="0.25">
      <c r="A1901" s="85" t="s">
        <v>3651</v>
      </c>
      <c r="B1901" s="85" t="s">
        <v>3651</v>
      </c>
      <c r="C1901" s="84" t="s">
        <v>922</v>
      </c>
      <c r="D1901" s="84" t="s">
        <v>1591</v>
      </c>
      <c r="E1901" s="84" t="s">
        <v>1399</v>
      </c>
      <c r="F1901" s="84" t="s">
        <v>1592</v>
      </c>
    </row>
    <row r="1902" spans="1:6" hidden="1" x14ac:dyDescent="0.25">
      <c r="A1902" s="85" t="s">
        <v>3652</v>
      </c>
      <c r="B1902" s="85" t="s">
        <v>3652</v>
      </c>
      <c r="C1902" s="84" t="s">
        <v>922</v>
      </c>
      <c r="D1902" s="84" t="s">
        <v>1593</v>
      </c>
      <c r="E1902" s="84" t="s">
        <v>1399</v>
      </c>
      <c r="F1902" s="84" t="s">
        <v>1592</v>
      </c>
    </row>
    <row r="1903" spans="1:6" hidden="1" x14ac:dyDescent="0.25">
      <c r="A1903" s="85" t="s">
        <v>3653</v>
      </c>
      <c r="B1903" s="85" t="s">
        <v>3653</v>
      </c>
      <c r="C1903" s="84" t="s">
        <v>922</v>
      </c>
      <c r="D1903" s="84" t="s">
        <v>1594</v>
      </c>
      <c r="E1903" s="84" t="s">
        <v>1399</v>
      </c>
      <c r="F1903" s="84" t="s">
        <v>1592</v>
      </c>
    </row>
    <row r="1904" spans="1:6" hidden="1" x14ac:dyDescent="0.25">
      <c r="A1904" s="85" t="s">
        <v>3654</v>
      </c>
      <c r="B1904" s="85" t="s">
        <v>3654</v>
      </c>
      <c r="C1904" s="84" t="s">
        <v>922</v>
      </c>
      <c r="D1904" s="84" t="s">
        <v>1595</v>
      </c>
      <c r="E1904" s="84" t="s">
        <v>1399</v>
      </c>
      <c r="F1904" s="84" t="s">
        <v>1592</v>
      </c>
    </row>
    <row r="1905" spans="1:6" hidden="1" x14ac:dyDescent="0.25">
      <c r="A1905" s="85" t="s">
        <v>3655</v>
      </c>
      <c r="B1905" s="85" t="s">
        <v>3655</v>
      </c>
      <c r="C1905" s="84" t="s">
        <v>922</v>
      </c>
      <c r="D1905" s="84" t="s">
        <v>1596</v>
      </c>
      <c r="E1905" s="84" t="s">
        <v>1399</v>
      </c>
      <c r="F1905" s="84" t="s">
        <v>1592</v>
      </c>
    </row>
    <row r="1906" spans="1:6" hidden="1" x14ac:dyDescent="0.25">
      <c r="A1906" s="85" t="s">
        <v>3656</v>
      </c>
      <c r="B1906" s="85" t="s">
        <v>3656</v>
      </c>
      <c r="C1906" s="84" t="s">
        <v>922</v>
      </c>
      <c r="D1906" s="84" t="s">
        <v>1597</v>
      </c>
      <c r="E1906" s="84" t="s">
        <v>1399</v>
      </c>
      <c r="F1906" s="84" t="s">
        <v>1592</v>
      </c>
    </row>
    <row r="1907" spans="1:6" hidden="1" x14ac:dyDescent="0.25">
      <c r="A1907" s="85" t="s">
        <v>3657</v>
      </c>
      <c r="B1907" s="85" t="s">
        <v>3657</v>
      </c>
      <c r="C1907" s="84" t="s">
        <v>922</v>
      </c>
      <c r="D1907" s="84" t="s">
        <v>1598</v>
      </c>
      <c r="E1907" s="84" t="s">
        <v>1399</v>
      </c>
      <c r="F1907" s="84" t="s">
        <v>1592</v>
      </c>
    </row>
    <row r="1908" spans="1:6" hidden="1" x14ac:dyDescent="0.25">
      <c r="A1908" s="85" t="s">
        <v>3658</v>
      </c>
      <c r="B1908" s="85" t="s">
        <v>3658</v>
      </c>
      <c r="C1908" s="84" t="s">
        <v>922</v>
      </c>
      <c r="D1908" s="84" t="s">
        <v>1599</v>
      </c>
      <c r="E1908" s="84" t="s">
        <v>1399</v>
      </c>
      <c r="F1908" s="84" t="s">
        <v>1592</v>
      </c>
    </row>
    <row r="1909" spans="1:6" hidden="1" x14ac:dyDescent="0.25">
      <c r="A1909" s="85" t="s">
        <v>3659</v>
      </c>
      <c r="B1909" s="85" t="s">
        <v>3659</v>
      </c>
      <c r="C1909" s="84" t="s">
        <v>922</v>
      </c>
      <c r="D1909" s="84" t="s">
        <v>3620</v>
      </c>
      <c r="E1909" s="84" t="s">
        <v>1399</v>
      </c>
      <c r="F1909" s="84" t="s">
        <v>1592</v>
      </c>
    </row>
    <row r="1910" spans="1:6" hidden="1" x14ac:dyDescent="0.25">
      <c r="A1910" s="85" t="s">
        <v>3660</v>
      </c>
      <c r="B1910" s="85" t="s">
        <v>3660</v>
      </c>
      <c r="C1910" s="84" t="s">
        <v>922</v>
      </c>
      <c r="D1910" s="84" t="s">
        <v>1600</v>
      </c>
      <c r="E1910" s="84" t="s">
        <v>1399</v>
      </c>
      <c r="F1910" s="84" t="s">
        <v>1592</v>
      </c>
    </row>
    <row r="1911" spans="1:6" hidden="1" x14ac:dyDescent="0.25">
      <c r="A1911" s="85" t="s">
        <v>3661</v>
      </c>
      <c r="B1911" s="85" t="s">
        <v>3661</v>
      </c>
      <c r="C1911" s="84" t="s">
        <v>922</v>
      </c>
      <c r="D1911" s="84" t="s">
        <v>1601</v>
      </c>
      <c r="E1911" s="84" t="s">
        <v>1399</v>
      </c>
      <c r="F1911" s="84" t="s">
        <v>1592</v>
      </c>
    </row>
    <row r="1912" spans="1:6" hidden="1" x14ac:dyDescent="0.25">
      <c r="A1912" s="85" t="s">
        <v>3662</v>
      </c>
      <c r="B1912" s="85" t="s">
        <v>3662</v>
      </c>
      <c r="C1912" s="84" t="s">
        <v>922</v>
      </c>
      <c r="D1912" s="84" t="s">
        <v>1602</v>
      </c>
      <c r="E1912" s="84" t="s">
        <v>1399</v>
      </c>
      <c r="F1912" s="84" t="s">
        <v>1592</v>
      </c>
    </row>
    <row r="1913" spans="1:6" hidden="1" x14ac:dyDescent="0.25">
      <c r="A1913" s="85" t="s">
        <v>3663</v>
      </c>
      <c r="B1913" s="85" t="s">
        <v>3663</v>
      </c>
      <c r="C1913" s="84" t="s">
        <v>922</v>
      </c>
      <c r="D1913" s="84" t="s">
        <v>1603</v>
      </c>
      <c r="E1913" s="84" t="s">
        <v>1399</v>
      </c>
      <c r="F1913" s="84" t="s">
        <v>1592</v>
      </c>
    </row>
    <row r="1914" spans="1:6" hidden="1" x14ac:dyDescent="0.25">
      <c r="A1914" s="85" t="s">
        <v>3664</v>
      </c>
      <c r="B1914" s="85" t="s">
        <v>3664</v>
      </c>
      <c r="C1914" s="84" t="s">
        <v>922</v>
      </c>
      <c r="D1914" s="84" t="s">
        <v>1604</v>
      </c>
      <c r="E1914" s="84" t="s">
        <v>1399</v>
      </c>
      <c r="F1914" s="84" t="s">
        <v>1592</v>
      </c>
    </row>
    <row r="1915" spans="1:6" hidden="1" x14ac:dyDescent="0.25">
      <c r="A1915" s="85" t="s">
        <v>3665</v>
      </c>
      <c r="B1915" s="85" t="s">
        <v>3665</v>
      </c>
      <c r="C1915" s="84" t="s">
        <v>922</v>
      </c>
      <c r="D1915" s="84" t="s">
        <v>1605</v>
      </c>
      <c r="E1915" s="84" t="s">
        <v>1399</v>
      </c>
      <c r="F1915" s="84" t="s">
        <v>1592</v>
      </c>
    </row>
    <row r="1916" spans="1:6" hidden="1" x14ac:dyDescent="0.25">
      <c r="A1916" s="85" t="s">
        <v>3666</v>
      </c>
      <c r="B1916" s="85" t="s">
        <v>3666</v>
      </c>
      <c r="C1916" s="84" t="s">
        <v>922</v>
      </c>
      <c r="D1916" s="84" t="s">
        <v>3629</v>
      </c>
      <c r="E1916" s="84" t="s">
        <v>1399</v>
      </c>
      <c r="F1916" s="84" t="s">
        <v>1592</v>
      </c>
    </row>
    <row r="1917" spans="1:6" hidden="1" x14ac:dyDescent="0.25">
      <c r="A1917" s="85" t="s">
        <v>3667</v>
      </c>
      <c r="B1917" s="85" t="s">
        <v>3667</v>
      </c>
      <c r="C1917" s="84" t="s">
        <v>922</v>
      </c>
      <c r="D1917" s="84" t="s">
        <v>1607</v>
      </c>
      <c r="E1917" s="84" t="s">
        <v>1399</v>
      </c>
      <c r="F1917" s="84" t="s">
        <v>1592</v>
      </c>
    </row>
    <row r="1918" spans="1:6" hidden="1" x14ac:dyDescent="0.25">
      <c r="A1918" s="85" t="s">
        <v>3668</v>
      </c>
      <c r="B1918" s="85" t="s">
        <v>3668</v>
      </c>
      <c r="C1918" s="84" t="s">
        <v>922</v>
      </c>
      <c r="D1918" s="84" t="s">
        <v>1608</v>
      </c>
      <c r="E1918" s="84" t="s">
        <v>1399</v>
      </c>
      <c r="F1918" s="84" t="s">
        <v>1592</v>
      </c>
    </row>
    <row r="1919" spans="1:6" hidden="1" x14ac:dyDescent="0.25">
      <c r="A1919" s="85" t="s">
        <v>3669</v>
      </c>
      <c r="B1919" s="85" t="s">
        <v>3669</v>
      </c>
      <c r="C1919" s="84" t="s">
        <v>922</v>
      </c>
      <c r="D1919" s="84" t="s">
        <v>1610</v>
      </c>
      <c r="E1919" s="84" t="s">
        <v>1399</v>
      </c>
      <c r="F1919" s="84" t="s">
        <v>1592</v>
      </c>
    </row>
    <row r="1920" spans="1:6" hidden="1" x14ac:dyDescent="0.25">
      <c r="A1920" s="85" t="s">
        <v>3670</v>
      </c>
      <c r="B1920" s="85" t="s">
        <v>3670</v>
      </c>
      <c r="C1920" s="84" t="s">
        <v>922</v>
      </c>
      <c r="D1920" s="84" t="s">
        <v>1611</v>
      </c>
      <c r="E1920" s="84" t="s">
        <v>1399</v>
      </c>
      <c r="F1920" s="84" t="s">
        <v>1592</v>
      </c>
    </row>
    <row r="1921" spans="1:6" hidden="1" x14ac:dyDescent="0.25">
      <c r="A1921" s="85" t="s">
        <v>3671</v>
      </c>
      <c r="B1921" s="85" t="s">
        <v>3671</v>
      </c>
      <c r="C1921" s="84" t="s">
        <v>922</v>
      </c>
      <c r="D1921" s="84" t="s">
        <v>1612</v>
      </c>
      <c r="E1921" s="84" t="s">
        <v>1399</v>
      </c>
      <c r="F1921" s="84" t="s">
        <v>1592</v>
      </c>
    </row>
    <row r="1922" spans="1:6" hidden="1" x14ac:dyDescent="0.25">
      <c r="A1922" s="85" t="s">
        <v>3672</v>
      </c>
      <c r="B1922" s="85" t="s">
        <v>3672</v>
      </c>
      <c r="C1922" s="84" t="s">
        <v>922</v>
      </c>
      <c r="D1922" s="84" t="s">
        <v>1614</v>
      </c>
      <c r="E1922" s="84" t="s">
        <v>1399</v>
      </c>
      <c r="F1922" s="84" t="s">
        <v>1592</v>
      </c>
    </row>
    <row r="1923" spans="1:6" hidden="1" x14ac:dyDescent="0.25">
      <c r="A1923" s="85" t="s">
        <v>3673</v>
      </c>
      <c r="B1923" s="85" t="s">
        <v>3673</v>
      </c>
      <c r="C1923" s="84" t="s">
        <v>922</v>
      </c>
      <c r="D1923" s="84" t="s">
        <v>1616</v>
      </c>
      <c r="E1923" s="84" t="s">
        <v>1399</v>
      </c>
      <c r="F1923" s="84" t="s">
        <v>1592</v>
      </c>
    </row>
    <row r="1924" spans="1:6" hidden="1" x14ac:dyDescent="0.25">
      <c r="A1924" s="85" t="s">
        <v>3674</v>
      </c>
      <c r="B1924" s="85" t="s">
        <v>3674</v>
      </c>
      <c r="C1924" s="84" t="s">
        <v>922</v>
      </c>
      <c r="D1924" s="84" t="s">
        <v>1618</v>
      </c>
      <c r="E1924" s="84" t="s">
        <v>1399</v>
      </c>
      <c r="F1924" s="84" t="s">
        <v>1592</v>
      </c>
    </row>
    <row r="1925" spans="1:6" hidden="1" x14ac:dyDescent="0.25">
      <c r="A1925" s="85" t="s">
        <v>3675</v>
      </c>
      <c r="B1925" s="85" t="s">
        <v>3675</v>
      </c>
      <c r="C1925" s="84" t="s">
        <v>922</v>
      </c>
      <c r="D1925" s="84" t="s">
        <v>1619</v>
      </c>
      <c r="E1925" s="84" t="s">
        <v>1399</v>
      </c>
      <c r="F1925" s="84" t="s">
        <v>1592</v>
      </c>
    </row>
    <row r="1926" spans="1:6" hidden="1" x14ac:dyDescent="0.25">
      <c r="A1926" s="85" t="s">
        <v>3676</v>
      </c>
      <c r="B1926" s="85" t="s">
        <v>3676</v>
      </c>
      <c r="C1926" s="84" t="s">
        <v>922</v>
      </c>
      <c r="D1926" s="84" t="s">
        <v>1620</v>
      </c>
      <c r="E1926" s="84" t="s">
        <v>1399</v>
      </c>
      <c r="F1926" s="84" t="s">
        <v>1592</v>
      </c>
    </row>
    <row r="1927" spans="1:6" hidden="1" x14ac:dyDescent="0.25">
      <c r="A1927" s="85" t="s">
        <v>3677</v>
      </c>
      <c r="B1927" s="85" t="s">
        <v>3677</v>
      </c>
      <c r="C1927" s="84" t="s">
        <v>922</v>
      </c>
      <c r="D1927" s="84" t="s">
        <v>1621</v>
      </c>
      <c r="E1927" s="84" t="s">
        <v>1399</v>
      </c>
      <c r="F1927" s="84" t="s">
        <v>1592</v>
      </c>
    </row>
    <row r="1928" spans="1:6" hidden="1" x14ac:dyDescent="0.25">
      <c r="A1928" s="85" t="s">
        <v>3678</v>
      </c>
      <c r="B1928" s="85" t="s">
        <v>3678</v>
      </c>
      <c r="C1928" s="84" t="s">
        <v>922</v>
      </c>
      <c r="D1928" s="84" t="s">
        <v>3646</v>
      </c>
      <c r="E1928" s="84" t="s">
        <v>1399</v>
      </c>
      <c r="F1928" s="84" t="s">
        <v>1592</v>
      </c>
    </row>
    <row r="1929" spans="1:6" hidden="1" x14ac:dyDescent="0.25">
      <c r="A1929" s="85">
        <v>92960</v>
      </c>
      <c r="B1929" s="85">
        <v>92960</v>
      </c>
      <c r="C1929" s="84" t="s">
        <v>2888</v>
      </c>
      <c r="D1929" s="84" t="s">
        <v>3679</v>
      </c>
      <c r="E1929" s="84" t="s">
        <v>1399</v>
      </c>
      <c r="F1929" s="84" t="s">
        <v>1592</v>
      </c>
    </row>
    <row r="1930" spans="1:6" hidden="1" x14ac:dyDescent="0.25">
      <c r="A1930" s="85" t="s">
        <v>3680</v>
      </c>
      <c r="B1930" s="85" t="s">
        <v>3680</v>
      </c>
      <c r="C1930" s="84" t="s">
        <v>958</v>
      </c>
      <c r="D1930" s="84" t="s">
        <v>3681</v>
      </c>
      <c r="E1930" s="84" t="s">
        <v>1399</v>
      </c>
      <c r="F1930" s="84" t="s">
        <v>1592</v>
      </c>
    </row>
    <row r="1931" spans="1:6" hidden="1" x14ac:dyDescent="0.25">
      <c r="A1931" s="85" t="s">
        <v>3682</v>
      </c>
      <c r="B1931" s="85" t="s">
        <v>3682</v>
      </c>
      <c r="C1931" s="84" t="s">
        <v>958</v>
      </c>
      <c r="D1931" s="84" t="s">
        <v>3683</v>
      </c>
      <c r="E1931" s="84" t="s">
        <v>1399</v>
      </c>
      <c r="F1931" s="84" t="s">
        <v>1592</v>
      </c>
    </row>
    <row r="1932" spans="1:6" hidden="1" x14ac:dyDescent="0.25">
      <c r="A1932" s="85" t="s">
        <v>3684</v>
      </c>
      <c r="B1932" s="85" t="s">
        <v>3684</v>
      </c>
      <c r="C1932" s="84" t="s">
        <v>958</v>
      </c>
      <c r="D1932" s="84" t="s">
        <v>3685</v>
      </c>
      <c r="E1932" s="84" t="s">
        <v>1399</v>
      </c>
      <c r="F1932" s="84" t="s">
        <v>1592</v>
      </c>
    </row>
    <row r="1933" spans="1:6" hidden="1" x14ac:dyDescent="0.25">
      <c r="A1933" s="85" t="s">
        <v>3686</v>
      </c>
      <c r="B1933" s="85" t="s">
        <v>3686</v>
      </c>
      <c r="C1933" s="84" t="s">
        <v>958</v>
      </c>
      <c r="D1933" s="84" t="s">
        <v>3687</v>
      </c>
      <c r="E1933" s="84" t="s">
        <v>1399</v>
      </c>
      <c r="F1933" s="84" t="s">
        <v>1592</v>
      </c>
    </row>
    <row r="1934" spans="1:6" hidden="1" x14ac:dyDescent="0.25">
      <c r="A1934" s="85" t="s">
        <v>46</v>
      </c>
      <c r="B1934" s="85" t="s">
        <v>46</v>
      </c>
      <c r="C1934" s="84" t="s">
        <v>958</v>
      </c>
      <c r="D1934" s="84" t="s">
        <v>664</v>
      </c>
      <c r="E1934" s="84" t="s">
        <v>1399</v>
      </c>
      <c r="F1934" s="84" t="s">
        <v>1592</v>
      </c>
    </row>
    <row r="1935" spans="1:6" hidden="1" x14ac:dyDescent="0.25">
      <c r="A1935" s="85" t="s">
        <v>3688</v>
      </c>
      <c r="B1935" s="85" t="s">
        <v>3688</v>
      </c>
      <c r="C1935" s="84" t="s">
        <v>958</v>
      </c>
      <c r="D1935" s="84" t="s">
        <v>3689</v>
      </c>
      <c r="E1935" s="84" t="s">
        <v>1399</v>
      </c>
      <c r="F1935" s="84" t="s">
        <v>1592</v>
      </c>
    </row>
    <row r="1936" spans="1:6" hidden="1" x14ac:dyDescent="0.25">
      <c r="A1936" s="85" t="s">
        <v>47</v>
      </c>
      <c r="B1936" s="85" t="s">
        <v>47</v>
      </c>
      <c r="C1936" s="84" t="s">
        <v>958</v>
      </c>
      <c r="D1936" s="84" t="s">
        <v>665</v>
      </c>
      <c r="E1936" s="84" t="s">
        <v>1399</v>
      </c>
      <c r="F1936" s="84" t="s">
        <v>1592</v>
      </c>
    </row>
    <row r="1937" spans="1:6" hidden="1" x14ac:dyDescent="0.25">
      <c r="A1937" s="85" t="s">
        <v>3690</v>
      </c>
      <c r="B1937" s="85" t="s">
        <v>3690</v>
      </c>
      <c r="C1937" s="84" t="s">
        <v>958</v>
      </c>
      <c r="D1937" s="84" t="s">
        <v>3691</v>
      </c>
      <c r="E1937" s="84" t="s">
        <v>1399</v>
      </c>
      <c r="F1937" s="84" t="s">
        <v>1592</v>
      </c>
    </row>
    <row r="1938" spans="1:6" hidden="1" x14ac:dyDescent="0.25">
      <c r="A1938" s="85" t="s">
        <v>48</v>
      </c>
      <c r="B1938" s="85" t="s">
        <v>48</v>
      </c>
      <c r="C1938" s="84" t="s">
        <v>958</v>
      </c>
      <c r="D1938" s="84" t="s">
        <v>666</v>
      </c>
      <c r="E1938" s="84" t="s">
        <v>1399</v>
      </c>
      <c r="F1938" s="84" t="s">
        <v>1592</v>
      </c>
    </row>
    <row r="1939" spans="1:6" hidden="1" x14ac:dyDescent="0.25">
      <c r="A1939" s="85" t="s">
        <v>3692</v>
      </c>
      <c r="B1939" s="85" t="s">
        <v>3692</v>
      </c>
      <c r="C1939" s="84" t="s">
        <v>958</v>
      </c>
      <c r="D1939" s="84" t="s">
        <v>3693</v>
      </c>
      <c r="E1939" s="84" t="s">
        <v>1399</v>
      </c>
      <c r="F1939" s="84" t="s">
        <v>1592</v>
      </c>
    </row>
    <row r="1940" spans="1:6" hidden="1" x14ac:dyDescent="0.25">
      <c r="A1940" s="85" t="s">
        <v>49</v>
      </c>
      <c r="B1940" s="85" t="s">
        <v>49</v>
      </c>
      <c r="C1940" s="84" t="s">
        <v>958</v>
      </c>
      <c r="D1940" s="84" t="s">
        <v>667</v>
      </c>
      <c r="E1940" s="84" t="s">
        <v>1399</v>
      </c>
      <c r="F1940" s="84" t="s">
        <v>1592</v>
      </c>
    </row>
    <row r="1941" spans="1:6" hidden="1" x14ac:dyDescent="0.25">
      <c r="A1941" s="85" t="s">
        <v>3694</v>
      </c>
      <c r="B1941" s="85" t="s">
        <v>3694</v>
      </c>
      <c r="C1941" s="84" t="s">
        <v>958</v>
      </c>
      <c r="D1941" s="84" t="s">
        <v>3695</v>
      </c>
      <c r="E1941" s="84" t="s">
        <v>1399</v>
      </c>
      <c r="F1941" s="84" t="s">
        <v>1592</v>
      </c>
    </row>
    <row r="1942" spans="1:6" hidden="1" x14ac:dyDescent="0.25">
      <c r="A1942" s="85" t="s">
        <v>50</v>
      </c>
      <c r="B1942" s="85" t="s">
        <v>50</v>
      </c>
      <c r="C1942" s="84" t="s">
        <v>958</v>
      </c>
      <c r="D1942" s="84" t="s">
        <v>668</v>
      </c>
      <c r="E1942" s="84" t="s">
        <v>1399</v>
      </c>
      <c r="F1942" s="84" t="s">
        <v>1592</v>
      </c>
    </row>
    <row r="1943" spans="1:6" hidden="1" x14ac:dyDescent="0.25">
      <c r="A1943" s="85" t="s">
        <v>3696</v>
      </c>
      <c r="B1943" s="85" t="s">
        <v>3696</v>
      </c>
      <c r="C1943" s="84" t="s">
        <v>958</v>
      </c>
      <c r="D1943" s="84" t="s">
        <v>3697</v>
      </c>
      <c r="E1943" s="84" t="s">
        <v>1399</v>
      </c>
      <c r="F1943" s="84" t="s">
        <v>1592</v>
      </c>
    </row>
    <row r="1944" spans="1:6" hidden="1" x14ac:dyDescent="0.25">
      <c r="A1944" s="85" t="s">
        <v>811</v>
      </c>
      <c r="B1944" s="85" t="s">
        <v>811</v>
      </c>
      <c r="C1944" s="84" t="s">
        <v>958</v>
      </c>
      <c r="D1944" s="84" t="s">
        <v>1622</v>
      </c>
      <c r="E1944" s="84" t="s">
        <v>1399</v>
      </c>
      <c r="F1944" s="84" t="s">
        <v>1592</v>
      </c>
    </row>
    <row r="1945" spans="1:6" hidden="1" x14ac:dyDescent="0.25">
      <c r="A1945" s="85" t="s">
        <v>813</v>
      </c>
      <c r="B1945" s="85" t="s">
        <v>813</v>
      </c>
      <c r="C1945" s="84" t="s">
        <v>958</v>
      </c>
      <c r="D1945" s="84" t="s">
        <v>1623</v>
      </c>
      <c r="E1945" s="84" t="s">
        <v>1399</v>
      </c>
      <c r="F1945" s="84" t="s">
        <v>1592</v>
      </c>
    </row>
    <row r="1946" spans="1:6" hidden="1" x14ac:dyDescent="0.25">
      <c r="A1946" s="85" t="s">
        <v>815</v>
      </c>
      <c r="B1946" s="85" t="s">
        <v>815</v>
      </c>
      <c r="C1946" s="84" t="s">
        <v>958</v>
      </c>
      <c r="D1946" s="84" t="s">
        <v>1624</v>
      </c>
      <c r="E1946" s="84" t="s">
        <v>1399</v>
      </c>
      <c r="F1946" s="84" t="s">
        <v>1592</v>
      </c>
    </row>
    <row r="1947" spans="1:6" hidden="1" x14ac:dyDescent="0.25">
      <c r="A1947" s="85" t="s">
        <v>3698</v>
      </c>
      <c r="B1947" s="85" t="s">
        <v>3698</v>
      </c>
      <c r="C1947" s="84" t="s">
        <v>958</v>
      </c>
      <c r="D1947" s="84" t="s">
        <v>3699</v>
      </c>
      <c r="E1947" s="84" t="s">
        <v>1399</v>
      </c>
      <c r="F1947" s="84" t="s">
        <v>1592</v>
      </c>
    </row>
    <row r="1948" spans="1:6" hidden="1" x14ac:dyDescent="0.25">
      <c r="A1948" s="85" t="s">
        <v>3700</v>
      </c>
      <c r="B1948" s="85" t="s">
        <v>3700</v>
      </c>
      <c r="C1948" s="84" t="s">
        <v>958</v>
      </c>
      <c r="D1948" s="84" t="s">
        <v>3701</v>
      </c>
      <c r="E1948" s="84" t="s">
        <v>1399</v>
      </c>
      <c r="F1948" s="84" t="s">
        <v>1592</v>
      </c>
    </row>
    <row r="1949" spans="1:6" hidden="1" x14ac:dyDescent="0.25">
      <c r="A1949" s="85" t="s">
        <v>51</v>
      </c>
      <c r="B1949" s="85" t="s">
        <v>51</v>
      </c>
      <c r="C1949" s="84" t="s">
        <v>958</v>
      </c>
      <c r="D1949" s="84" t="s">
        <v>1625</v>
      </c>
      <c r="E1949" s="84" t="s">
        <v>1399</v>
      </c>
      <c r="F1949" s="84" t="s">
        <v>1592</v>
      </c>
    </row>
    <row r="1950" spans="1:6" hidden="1" x14ac:dyDescent="0.25">
      <c r="A1950" s="85" t="s">
        <v>3702</v>
      </c>
      <c r="B1950" s="85" t="s">
        <v>3702</v>
      </c>
      <c r="C1950" s="84" t="s">
        <v>958</v>
      </c>
      <c r="D1950" s="84" t="s">
        <v>3703</v>
      </c>
      <c r="E1950" s="84" t="s">
        <v>1399</v>
      </c>
      <c r="F1950" s="84" t="s">
        <v>1592</v>
      </c>
    </row>
    <row r="1951" spans="1:6" hidden="1" x14ac:dyDescent="0.25">
      <c r="A1951" s="85" t="s">
        <v>52</v>
      </c>
      <c r="B1951" s="85" t="s">
        <v>52</v>
      </c>
      <c r="C1951" s="84" t="s">
        <v>958</v>
      </c>
      <c r="D1951" s="84" t="s">
        <v>670</v>
      </c>
      <c r="E1951" s="84" t="s">
        <v>1399</v>
      </c>
      <c r="F1951" s="84" t="s">
        <v>1592</v>
      </c>
    </row>
    <row r="1952" spans="1:6" hidden="1" x14ac:dyDescent="0.25">
      <c r="A1952" s="85" t="s">
        <v>3704</v>
      </c>
      <c r="B1952" s="85" t="s">
        <v>3704</v>
      </c>
      <c r="C1952" s="84" t="s">
        <v>958</v>
      </c>
      <c r="D1952" s="84" t="s">
        <v>3705</v>
      </c>
      <c r="E1952" s="84" t="s">
        <v>1399</v>
      </c>
      <c r="F1952" s="84" t="s">
        <v>1592</v>
      </c>
    </row>
    <row r="1953" spans="1:6" hidden="1" x14ac:dyDescent="0.25">
      <c r="A1953" s="85" t="s">
        <v>53</v>
      </c>
      <c r="B1953" s="85" t="s">
        <v>53</v>
      </c>
      <c r="C1953" s="84" t="s">
        <v>958</v>
      </c>
      <c r="D1953" s="84" t="s">
        <v>671</v>
      </c>
      <c r="E1953" s="84" t="s">
        <v>1399</v>
      </c>
      <c r="F1953" s="84" t="s">
        <v>1592</v>
      </c>
    </row>
    <row r="1954" spans="1:6" hidden="1" x14ac:dyDescent="0.25">
      <c r="A1954" s="85" t="s">
        <v>3706</v>
      </c>
      <c r="B1954" s="85" t="s">
        <v>3706</v>
      </c>
      <c r="C1954" s="84" t="s">
        <v>958</v>
      </c>
      <c r="D1954" s="84" t="s">
        <v>3707</v>
      </c>
      <c r="E1954" s="84" t="s">
        <v>1399</v>
      </c>
      <c r="F1954" s="84" t="s">
        <v>1592</v>
      </c>
    </row>
    <row r="1955" spans="1:6" hidden="1" x14ac:dyDescent="0.25">
      <c r="A1955" s="85" t="s">
        <v>817</v>
      </c>
      <c r="B1955" s="85" t="s">
        <v>817</v>
      </c>
      <c r="C1955" s="84" t="s">
        <v>958</v>
      </c>
      <c r="D1955" s="84" t="s">
        <v>1626</v>
      </c>
      <c r="E1955" s="84" t="s">
        <v>1399</v>
      </c>
      <c r="F1955" s="84" t="s">
        <v>1592</v>
      </c>
    </row>
    <row r="1956" spans="1:6" hidden="1" x14ac:dyDescent="0.25">
      <c r="A1956" s="85" t="s">
        <v>819</v>
      </c>
      <c r="B1956" s="85" t="s">
        <v>819</v>
      </c>
      <c r="C1956" s="84" t="s">
        <v>958</v>
      </c>
      <c r="D1956" s="84" t="s">
        <v>1627</v>
      </c>
      <c r="E1956" s="84" t="s">
        <v>1399</v>
      </c>
      <c r="F1956" s="84" t="s">
        <v>1592</v>
      </c>
    </row>
    <row r="1957" spans="1:6" hidden="1" x14ac:dyDescent="0.25">
      <c r="A1957" s="85" t="s">
        <v>821</v>
      </c>
      <c r="B1957" s="85" t="s">
        <v>821</v>
      </c>
      <c r="C1957" s="84" t="s">
        <v>958</v>
      </c>
      <c r="D1957" s="84" t="s">
        <v>1628</v>
      </c>
      <c r="E1957" s="84" t="s">
        <v>1399</v>
      </c>
      <c r="F1957" s="84" t="s">
        <v>1592</v>
      </c>
    </row>
    <row r="1958" spans="1:6" hidden="1" x14ac:dyDescent="0.25">
      <c r="A1958" s="85" t="s">
        <v>3708</v>
      </c>
      <c r="B1958" s="85" t="s">
        <v>3708</v>
      </c>
      <c r="C1958" s="84" t="s">
        <v>958</v>
      </c>
      <c r="D1958" s="84" t="s">
        <v>3709</v>
      </c>
      <c r="E1958" s="84" t="s">
        <v>1399</v>
      </c>
      <c r="F1958" s="84" t="s">
        <v>1592</v>
      </c>
    </row>
    <row r="1959" spans="1:6" hidden="1" x14ac:dyDescent="0.25">
      <c r="A1959" s="85" t="s">
        <v>3710</v>
      </c>
      <c r="B1959" s="85" t="s">
        <v>3710</v>
      </c>
      <c r="C1959" s="84" t="s">
        <v>958</v>
      </c>
      <c r="D1959" s="84" t="s">
        <v>3711</v>
      </c>
      <c r="E1959" s="84" t="s">
        <v>1399</v>
      </c>
      <c r="F1959" s="84" t="s">
        <v>1592</v>
      </c>
    </row>
    <row r="1960" spans="1:6" hidden="1" x14ac:dyDescent="0.25">
      <c r="A1960" s="85" t="s">
        <v>3712</v>
      </c>
      <c r="B1960" s="85" t="s">
        <v>3712</v>
      </c>
      <c r="C1960" s="84" t="s">
        <v>958</v>
      </c>
      <c r="D1960" s="84" t="s">
        <v>3713</v>
      </c>
      <c r="E1960" s="84" t="s">
        <v>1399</v>
      </c>
      <c r="F1960" s="84" t="s">
        <v>1592</v>
      </c>
    </row>
    <row r="1961" spans="1:6" hidden="1" x14ac:dyDescent="0.25">
      <c r="A1961" s="85" t="s">
        <v>3714</v>
      </c>
      <c r="B1961" s="85" t="s">
        <v>3714</v>
      </c>
      <c r="C1961" s="84" t="s">
        <v>958</v>
      </c>
      <c r="D1961" s="84" t="s">
        <v>3715</v>
      </c>
      <c r="E1961" s="84" t="s">
        <v>1399</v>
      </c>
      <c r="F1961" s="84" t="s">
        <v>1592</v>
      </c>
    </row>
    <row r="1962" spans="1:6" hidden="1" x14ac:dyDescent="0.25">
      <c r="A1962" s="85" t="s">
        <v>3716</v>
      </c>
      <c r="B1962" s="85" t="s">
        <v>3716</v>
      </c>
      <c r="C1962" s="84" t="s">
        <v>958</v>
      </c>
      <c r="D1962" s="84" t="s">
        <v>3717</v>
      </c>
      <c r="E1962" s="84" t="s">
        <v>1399</v>
      </c>
      <c r="F1962" s="84" t="s">
        <v>1592</v>
      </c>
    </row>
    <row r="1963" spans="1:6" hidden="1" x14ac:dyDescent="0.25">
      <c r="A1963" s="85" t="s">
        <v>3718</v>
      </c>
      <c r="B1963" s="85" t="s">
        <v>3718</v>
      </c>
      <c r="C1963" s="84" t="s">
        <v>958</v>
      </c>
      <c r="D1963" s="84" t="s">
        <v>3719</v>
      </c>
      <c r="E1963" s="84" t="s">
        <v>1399</v>
      </c>
      <c r="F1963" s="84" t="s">
        <v>1592</v>
      </c>
    </row>
    <row r="1964" spans="1:6" hidden="1" x14ac:dyDescent="0.25">
      <c r="A1964" s="85" t="s">
        <v>54</v>
      </c>
      <c r="B1964" s="85" t="s">
        <v>54</v>
      </c>
      <c r="C1964" s="84" t="s">
        <v>958</v>
      </c>
      <c r="D1964" s="84" t="s">
        <v>672</v>
      </c>
      <c r="E1964" s="84" t="s">
        <v>1399</v>
      </c>
      <c r="F1964" s="84" t="s">
        <v>1592</v>
      </c>
    </row>
    <row r="1965" spans="1:6" hidden="1" x14ac:dyDescent="0.25">
      <c r="A1965" s="85" t="s">
        <v>3720</v>
      </c>
      <c r="B1965" s="85" t="s">
        <v>3720</v>
      </c>
      <c r="C1965" s="84" t="s">
        <v>958</v>
      </c>
      <c r="D1965" s="84" t="s">
        <v>3721</v>
      </c>
      <c r="E1965" s="84" t="s">
        <v>1399</v>
      </c>
      <c r="F1965" s="84" t="s">
        <v>1592</v>
      </c>
    </row>
    <row r="1966" spans="1:6" hidden="1" x14ac:dyDescent="0.25">
      <c r="A1966" s="85" t="s">
        <v>55</v>
      </c>
      <c r="B1966" s="85" t="s">
        <v>55</v>
      </c>
      <c r="C1966" s="84" t="s">
        <v>958</v>
      </c>
      <c r="D1966" s="84" t="s">
        <v>673</v>
      </c>
      <c r="E1966" s="84" t="s">
        <v>1399</v>
      </c>
      <c r="F1966" s="84" t="s">
        <v>1592</v>
      </c>
    </row>
    <row r="1967" spans="1:6" hidden="1" x14ac:dyDescent="0.25">
      <c r="A1967" s="85" t="s">
        <v>3722</v>
      </c>
      <c r="B1967" s="85" t="s">
        <v>3722</v>
      </c>
      <c r="C1967" s="84" t="s">
        <v>958</v>
      </c>
      <c r="D1967" s="84" t="s">
        <v>3723</v>
      </c>
      <c r="E1967" s="84" t="s">
        <v>1399</v>
      </c>
      <c r="F1967" s="84" t="s">
        <v>1592</v>
      </c>
    </row>
    <row r="1968" spans="1:6" hidden="1" x14ac:dyDescent="0.25">
      <c r="A1968" s="85" t="s">
        <v>1629</v>
      </c>
      <c r="B1968" s="85" t="s">
        <v>1629</v>
      </c>
      <c r="C1968" s="84" t="s">
        <v>958</v>
      </c>
      <c r="D1968" s="84" t="s">
        <v>1630</v>
      </c>
      <c r="E1968" s="84" t="s">
        <v>1399</v>
      </c>
      <c r="F1968" s="84" t="s">
        <v>1592</v>
      </c>
    </row>
    <row r="1969" spans="1:6" hidden="1" x14ac:dyDescent="0.25">
      <c r="A1969" s="85" t="s">
        <v>3724</v>
      </c>
      <c r="B1969" s="85" t="s">
        <v>3724</v>
      </c>
      <c r="C1969" s="84" t="s">
        <v>958</v>
      </c>
      <c r="D1969" s="84" t="s">
        <v>3725</v>
      </c>
      <c r="E1969" s="84" t="s">
        <v>1399</v>
      </c>
      <c r="F1969" s="84" t="s">
        <v>1592</v>
      </c>
    </row>
    <row r="1970" spans="1:6" hidden="1" x14ac:dyDescent="0.25">
      <c r="A1970" s="85" t="s">
        <v>1631</v>
      </c>
      <c r="B1970" s="85" t="s">
        <v>1631</v>
      </c>
      <c r="C1970" s="84" t="s">
        <v>958</v>
      </c>
      <c r="D1970" s="84" t="s">
        <v>1632</v>
      </c>
      <c r="E1970" s="84" t="s">
        <v>1399</v>
      </c>
      <c r="F1970" s="84" t="s">
        <v>1592</v>
      </c>
    </row>
    <row r="1971" spans="1:6" hidden="1" x14ac:dyDescent="0.25">
      <c r="A1971" s="85" t="s">
        <v>3726</v>
      </c>
      <c r="B1971" s="85" t="s">
        <v>3726</v>
      </c>
      <c r="C1971" s="84" t="s">
        <v>958</v>
      </c>
      <c r="D1971" s="84" t="s">
        <v>3727</v>
      </c>
      <c r="E1971" s="84" t="s">
        <v>1399</v>
      </c>
      <c r="F1971" s="84" t="s">
        <v>1592</v>
      </c>
    </row>
    <row r="1972" spans="1:6" hidden="1" x14ac:dyDescent="0.25">
      <c r="A1972" s="85" t="s">
        <v>823</v>
      </c>
      <c r="B1972" s="85" t="s">
        <v>823</v>
      </c>
      <c r="C1972" s="84" t="s">
        <v>958</v>
      </c>
      <c r="D1972" s="84" t="s">
        <v>1633</v>
      </c>
      <c r="E1972" s="84" t="s">
        <v>1399</v>
      </c>
      <c r="F1972" s="84" t="s">
        <v>1592</v>
      </c>
    </row>
    <row r="1973" spans="1:6" hidden="1" x14ac:dyDescent="0.25">
      <c r="A1973" s="85" t="s">
        <v>825</v>
      </c>
      <c r="B1973" s="85" t="s">
        <v>825</v>
      </c>
      <c r="C1973" s="84" t="s">
        <v>958</v>
      </c>
      <c r="D1973" s="84" t="s">
        <v>1634</v>
      </c>
      <c r="E1973" s="84" t="s">
        <v>1399</v>
      </c>
      <c r="F1973" s="84" t="s">
        <v>1592</v>
      </c>
    </row>
    <row r="1974" spans="1:6" hidden="1" x14ac:dyDescent="0.25">
      <c r="A1974" s="85" t="s">
        <v>827</v>
      </c>
      <c r="B1974" s="85" t="s">
        <v>827</v>
      </c>
      <c r="C1974" s="84" t="s">
        <v>958</v>
      </c>
      <c r="D1974" s="84" t="s">
        <v>1635</v>
      </c>
      <c r="E1974" s="84" t="s">
        <v>1399</v>
      </c>
      <c r="F1974" s="84" t="s">
        <v>1592</v>
      </c>
    </row>
    <row r="1975" spans="1:6" hidden="1" x14ac:dyDescent="0.25">
      <c r="A1975" s="85" t="s">
        <v>3728</v>
      </c>
      <c r="B1975" s="85" t="s">
        <v>3728</v>
      </c>
      <c r="C1975" s="84" t="s">
        <v>958</v>
      </c>
      <c r="D1975" s="84" t="s">
        <v>3729</v>
      </c>
      <c r="E1975" s="84" t="s">
        <v>1399</v>
      </c>
      <c r="F1975" s="84" t="s">
        <v>1592</v>
      </c>
    </row>
    <row r="1976" spans="1:6" hidden="1" x14ac:dyDescent="0.25">
      <c r="A1976" s="85" t="s">
        <v>3730</v>
      </c>
      <c r="B1976" s="85" t="s">
        <v>3731</v>
      </c>
      <c r="C1976" s="84" t="s">
        <v>922</v>
      </c>
      <c r="D1976" s="84" t="s">
        <v>3732</v>
      </c>
      <c r="E1976" s="84" t="s">
        <v>1399</v>
      </c>
      <c r="F1976" s="84" t="s">
        <v>1638</v>
      </c>
    </row>
    <row r="1977" spans="1:6" hidden="1" x14ac:dyDescent="0.25">
      <c r="A1977" s="85" t="s">
        <v>1636</v>
      </c>
      <c r="B1977" s="85" t="s">
        <v>3733</v>
      </c>
      <c r="C1977" s="84" t="s">
        <v>922</v>
      </c>
      <c r="D1977" s="84" t="s">
        <v>1637</v>
      </c>
      <c r="E1977" s="84" t="s">
        <v>1399</v>
      </c>
      <c r="F1977" s="84" t="s">
        <v>1638</v>
      </c>
    </row>
    <row r="1978" spans="1:6" hidden="1" x14ac:dyDescent="0.25">
      <c r="A1978" s="85">
        <v>92901</v>
      </c>
      <c r="B1978" s="85">
        <v>92901</v>
      </c>
      <c r="C1978" s="84" t="s">
        <v>2888</v>
      </c>
      <c r="D1978" s="84" t="s">
        <v>3734</v>
      </c>
      <c r="E1978" s="84" t="s">
        <v>1399</v>
      </c>
      <c r="F1978" s="84" t="s">
        <v>1638</v>
      </c>
    </row>
    <row r="1979" spans="1:6" hidden="1" x14ac:dyDescent="0.25">
      <c r="A1979" s="85">
        <v>92902</v>
      </c>
      <c r="B1979" s="85">
        <v>92902</v>
      </c>
      <c r="C1979" s="84" t="s">
        <v>2888</v>
      </c>
      <c r="D1979" s="84" t="s">
        <v>3735</v>
      </c>
      <c r="E1979" s="84" t="s">
        <v>1399</v>
      </c>
      <c r="F1979" s="84" t="s">
        <v>1638</v>
      </c>
    </row>
    <row r="1980" spans="1:6" hidden="1" x14ac:dyDescent="0.25">
      <c r="A1980" s="85" t="s">
        <v>3736</v>
      </c>
      <c r="B1980" s="85" t="s">
        <v>3736</v>
      </c>
      <c r="C1980" s="84" t="s">
        <v>958</v>
      </c>
      <c r="D1980" s="84" t="s">
        <v>3737</v>
      </c>
      <c r="E1980" s="84" t="s">
        <v>1399</v>
      </c>
      <c r="F1980" s="84" t="s">
        <v>1638</v>
      </c>
    </row>
    <row r="1981" spans="1:6" hidden="1" x14ac:dyDescent="0.25">
      <c r="A1981" s="85">
        <v>92192</v>
      </c>
      <c r="B1981" s="85">
        <v>92192</v>
      </c>
      <c r="C1981" s="84" t="s">
        <v>2888</v>
      </c>
      <c r="D1981" s="84" t="s">
        <v>3738</v>
      </c>
      <c r="E1981" s="84" t="s">
        <v>1399</v>
      </c>
      <c r="F1981" s="84" t="s">
        <v>3739</v>
      </c>
    </row>
    <row r="1982" spans="1:6" hidden="1" x14ac:dyDescent="0.25">
      <c r="A1982" s="85" t="s">
        <v>864</v>
      </c>
      <c r="B1982" s="85" t="s">
        <v>864</v>
      </c>
      <c r="C1982" s="84" t="s">
        <v>958</v>
      </c>
      <c r="D1982" s="84" t="s">
        <v>1639</v>
      </c>
      <c r="E1982" s="84" t="s">
        <v>1640</v>
      </c>
      <c r="F1982" s="84" t="s">
        <v>1641</v>
      </c>
    </row>
    <row r="1983" spans="1:6" hidden="1" x14ac:dyDescent="0.25">
      <c r="A1983" s="85" t="s">
        <v>3740</v>
      </c>
      <c r="B1983" s="85" t="s">
        <v>3741</v>
      </c>
      <c r="C1983" s="84" t="s">
        <v>922</v>
      </c>
      <c r="D1983" s="84" t="s">
        <v>3742</v>
      </c>
      <c r="E1983" s="84" t="s">
        <v>1640</v>
      </c>
      <c r="F1983" s="84" t="s">
        <v>1644</v>
      </c>
    </row>
    <row r="1984" spans="1:6" hidden="1" x14ac:dyDescent="0.25">
      <c r="A1984" s="85">
        <v>92700</v>
      </c>
      <c r="B1984" s="85">
        <v>92700</v>
      </c>
      <c r="C1984" s="84" t="s">
        <v>2888</v>
      </c>
      <c r="D1984" s="84" t="s">
        <v>3743</v>
      </c>
      <c r="E1984" s="84" t="s">
        <v>1640</v>
      </c>
      <c r="F1984" s="84" t="s">
        <v>1644</v>
      </c>
    </row>
    <row r="1985" spans="1:6" hidden="1" x14ac:dyDescent="0.25">
      <c r="A1985" s="85" t="s">
        <v>1642</v>
      </c>
      <c r="B1985" s="85" t="s">
        <v>1642</v>
      </c>
      <c r="C1985" s="84" t="s">
        <v>958</v>
      </c>
      <c r="D1985" s="84" t="s">
        <v>1643</v>
      </c>
      <c r="E1985" s="84" t="s">
        <v>1640</v>
      </c>
      <c r="F1985" s="84" t="s">
        <v>1644</v>
      </c>
    </row>
    <row r="1986" spans="1:6" hidden="1" x14ac:dyDescent="0.25">
      <c r="A1986" s="85" t="s">
        <v>3744</v>
      </c>
      <c r="B1986" s="85" t="s">
        <v>3744</v>
      </c>
      <c r="C1986" s="84" t="s">
        <v>958</v>
      </c>
      <c r="D1986" s="84" t="s">
        <v>3745</v>
      </c>
      <c r="E1986" s="84" t="s">
        <v>1640</v>
      </c>
      <c r="F1986" s="84" t="s">
        <v>1644</v>
      </c>
    </row>
    <row r="1987" spans="1:6" hidden="1" x14ac:dyDescent="0.25">
      <c r="A1987" s="85" t="s">
        <v>3746</v>
      </c>
      <c r="B1987" s="85" t="s">
        <v>3746</v>
      </c>
      <c r="C1987" s="84" t="s">
        <v>958</v>
      </c>
      <c r="D1987" s="84" t="s">
        <v>3747</v>
      </c>
      <c r="E1987" s="84" t="s">
        <v>1640</v>
      </c>
      <c r="F1987" s="84" t="s">
        <v>964</v>
      </c>
    </row>
    <row r="1988" spans="1:6" hidden="1" x14ac:dyDescent="0.25">
      <c r="A1988" s="85" t="s">
        <v>849</v>
      </c>
      <c r="B1988" s="85" t="s">
        <v>849</v>
      </c>
      <c r="C1988" s="84" t="s">
        <v>958</v>
      </c>
      <c r="D1988" s="84" t="s">
        <v>1645</v>
      </c>
      <c r="E1988" s="84" t="s">
        <v>1640</v>
      </c>
      <c r="F1988" s="84" t="s">
        <v>964</v>
      </c>
    </row>
    <row r="1989" spans="1:6" hidden="1" x14ac:dyDescent="0.25">
      <c r="A1989" s="85" t="s">
        <v>3748</v>
      </c>
      <c r="B1989" s="85" t="s">
        <v>3748</v>
      </c>
      <c r="C1989" s="84" t="s">
        <v>958</v>
      </c>
      <c r="D1989" s="84" t="s">
        <v>3749</v>
      </c>
      <c r="E1989" s="84" t="s">
        <v>1640</v>
      </c>
      <c r="F1989" s="84" t="s">
        <v>964</v>
      </c>
    </row>
    <row r="1990" spans="1:6" hidden="1" x14ac:dyDescent="0.25">
      <c r="A1990" s="85" t="s">
        <v>3750</v>
      </c>
      <c r="B1990" s="85" t="s">
        <v>3751</v>
      </c>
      <c r="C1990" s="84" t="s">
        <v>922</v>
      </c>
      <c r="D1990" s="84" t="s">
        <v>3752</v>
      </c>
      <c r="E1990" s="84" t="s">
        <v>1640</v>
      </c>
      <c r="F1990" s="84" t="s">
        <v>1648</v>
      </c>
    </row>
    <row r="1991" spans="1:6" hidden="1" x14ac:dyDescent="0.25">
      <c r="A1991" s="85" t="s">
        <v>3753</v>
      </c>
      <c r="B1991" s="85" t="s">
        <v>3754</v>
      </c>
      <c r="C1991" s="84" t="s">
        <v>922</v>
      </c>
      <c r="D1991" s="84" t="s">
        <v>3755</v>
      </c>
      <c r="E1991" s="84" t="s">
        <v>1640</v>
      </c>
      <c r="F1991" s="84" t="s">
        <v>1648</v>
      </c>
    </row>
    <row r="1992" spans="1:6" hidden="1" x14ac:dyDescent="0.25">
      <c r="A1992" s="85" t="s">
        <v>1646</v>
      </c>
      <c r="B1992" s="85" t="s">
        <v>1646</v>
      </c>
      <c r="C1992" s="84" t="s">
        <v>958</v>
      </c>
      <c r="D1992" s="84" t="s">
        <v>1647</v>
      </c>
      <c r="E1992" s="84" t="s">
        <v>1640</v>
      </c>
      <c r="F1992" s="84" t="s">
        <v>1648</v>
      </c>
    </row>
    <row r="1993" spans="1:6" hidden="1" x14ac:dyDescent="0.25">
      <c r="A1993" s="85" t="s">
        <v>1649</v>
      </c>
      <c r="B1993" s="85" t="s">
        <v>1649</v>
      </c>
      <c r="C1993" s="84" t="s">
        <v>958</v>
      </c>
      <c r="D1993" s="84" t="s">
        <v>1650</v>
      </c>
      <c r="E1993" s="84" t="s">
        <v>1640</v>
      </c>
      <c r="F1993" s="84" t="s">
        <v>1648</v>
      </c>
    </row>
    <row r="1994" spans="1:6" hidden="1" x14ac:dyDescent="0.25">
      <c r="A1994" s="85" t="s">
        <v>3756</v>
      </c>
      <c r="B1994" s="85" t="s">
        <v>3756</v>
      </c>
      <c r="C1994" s="84" t="s">
        <v>958</v>
      </c>
      <c r="D1994" s="84" t="s">
        <v>3757</v>
      </c>
      <c r="E1994" s="84" t="s">
        <v>1640</v>
      </c>
      <c r="F1994" s="84" t="s">
        <v>1648</v>
      </c>
    </row>
    <row r="1995" spans="1:6" hidden="1" x14ac:dyDescent="0.25">
      <c r="A1995" s="85" t="s">
        <v>3758</v>
      </c>
      <c r="B1995" s="85" t="s">
        <v>3758</v>
      </c>
      <c r="C1995" s="84" t="s">
        <v>922</v>
      </c>
      <c r="D1995" s="84" t="s">
        <v>3759</v>
      </c>
      <c r="E1995" s="84" t="s">
        <v>1640</v>
      </c>
      <c r="F1995" s="84" t="s">
        <v>998</v>
      </c>
    </row>
    <row r="1996" spans="1:6" hidden="1" x14ac:dyDescent="0.25">
      <c r="A1996" s="85" t="s">
        <v>3760</v>
      </c>
      <c r="B1996" s="85" t="s">
        <v>3760</v>
      </c>
      <c r="C1996" s="84" t="s">
        <v>922</v>
      </c>
      <c r="D1996" s="84" t="s">
        <v>3761</v>
      </c>
      <c r="E1996" s="84" t="s">
        <v>1640</v>
      </c>
      <c r="F1996" s="84" t="s">
        <v>998</v>
      </c>
    </row>
    <row r="1997" spans="1:6" hidden="1" x14ac:dyDescent="0.25">
      <c r="A1997" s="85" t="s">
        <v>3762</v>
      </c>
      <c r="B1997" s="85" t="s">
        <v>3762</v>
      </c>
      <c r="C1997" s="84" t="s">
        <v>922</v>
      </c>
      <c r="D1997" s="84" t="s">
        <v>3763</v>
      </c>
      <c r="E1997" s="84" t="s">
        <v>1640</v>
      </c>
      <c r="F1997" s="84" t="s">
        <v>998</v>
      </c>
    </row>
    <row r="1998" spans="1:6" hidden="1" x14ac:dyDescent="0.25">
      <c r="A1998" s="85" t="s">
        <v>3764</v>
      </c>
      <c r="B1998" s="85" t="s">
        <v>3764</v>
      </c>
      <c r="C1998" s="84" t="s">
        <v>922</v>
      </c>
      <c r="D1998" s="84" t="s">
        <v>3765</v>
      </c>
      <c r="E1998" s="84" t="s">
        <v>1640</v>
      </c>
      <c r="F1998" s="84" t="s">
        <v>998</v>
      </c>
    </row>
    <row r="1999" spans="1:6" hidden="1" x14ac:dyDescent="0.25">
      <c r="A1999" s="85" t="s">
        <v>172</v>
      </c>
      <c r="B1999" s="85" t="s">
        <v>3766</v>
      </c>
      <c r="C1999" s="84" t="s">
        <v>922</v>
      </c>
      <c r="D1999" s="84" t="s">
        <v>1651</v>
      </c>
      <c r="E1999" s="84" t="s">
        <v>1640</v>
      </c>
      <c r="F1999" s="84" t="s">
        <v>998</v>
      </c>
    </row>
    <row r="2000" spans="1:6" hidden="1" x14ac:dyDescent="0.25">
      <c r="A2000" s="85" t="s">
        <v>173</v>
      </c>
      <c r="B2000" s="85" t="s">
        <v>3767</v>
      </c>
      <c r="C2000" s="84" t="s">
        <v>922</v>
      </c>
      <c r="D2000" s="84" t="s">
        <v>1652</v>
      </c>
      <c r="E2000" s="84" t="s">
        <v>1640</v>
      </c>
      <c r="F2000" s="84" t="s">
        <v>998</v>
      </c>
    </row>
    <row r="2001" spans="1:6" hidden="1" x14ac:dyDescent="0.25">
      <c r="A2001" s="85" t="s">
        <v>174</v>
      </c>
      <c r="B2001" s="85" t="s">
        <v>3768</v>
      </c>
      <c r="C2001" s="84" t="s">
        <v>922</v>
      </c>
      <c r="D2001" s="84" t="s">
        <v>1653</v>
      </c>
      <c r="E2001" s="84" t="s">
        <v>1640</v>
      </c>
      <c r="F2001" s="84" t="s">
        <v>998</v>
      </c>
    </row>
    <row r="2002" spans="1:6" hidden="1" x14ac:dyDescent="0.25">
      <c r="A2002" s="85" t="s">
        <v>1654</v>
      </c>
      <c r="B2002" s="85" t="s">
        <v>3769</v>
      </c>
      <c r="C2002" s="84" t="s">
        <v>922</v>
      </c>
      <c r="D2002" s="84" t="s">
        <v>1655</v>
      </c>
      <c r="E2002" s="84" t="s">
        <v>1640</v>
      </c>
      <c r="F2002" s="84" t="s">
        <v>998</v>
      </c>
    </row>
    <row r="2003" spans="1:6" hidden="1" x14ac:dyDescent="0.25">
      <c r="A2003" s="85" t="s">
        <v>3770</v>
      </c>
      <c r="B2003" s="85" t="s">
        <v>3771</v>
      </c>
      <c r="C2003" s="84" t="s">
        <v>922</v>
      </c>
      <c r="D2003" s="84" t="s">
        <v>3772</v>
      </c>
      <c r="E2003" s="84" t="s">
        <v>1640</v>
      </c>
      <c r="F2003" s="84" t="s">
        <v>998</v>
      </c>
    </row>
    <row r="2004" spans="1:6" hidden="1" x14ac:dyDescent="0.25">
      <c r="A2004" s="85" t="s">
        <v>3773</v>
      </c>
      <c r="B2004" s="85" t="s">
        <v>3774</v>
      </c>
      <c r="C2004" s="84" t="s">
        <v>922</v>
      </c>
      <c r="D2004" s="84" t="s">
        <v>3775</v>
      </c>
      <c r="E2004" s="84" t="s">
        <v>1640</v>
      </c>
      <c r="F2004" s="84" t="s">
        <v>998</v>
      </c>
    </row>
    <row r="2005" spans="1:6" hidden="1" x14ac:dyDescent="0.25">
      <c r="A2005" s="85" t="s">
        <v>3776</v>
      </c>
      <c r="B2005" s="85" t="s">
        <v>3776</v>
      </c>
      <c r="C2005" s="84" t="s">
        <v>922</v>
      </c>
      <c r="D2005" s="84" t="s">
        <v>1651</v>
      </c>
      <c r="E2005" s="84" t="s">
        <v>1640</v>
      </c>
      <c r="F2005" s="84" t="s">
        <v>998</v>
      </c>
    </row>
    <row r="2006" spans="1:6" hidden="1" x14ac:dyDescent="0.25">
      <c r="A2006" s="85" t="s">
        <v>3777</v>
      </c>
      <c r="B2006" s="85" t="s">
        <v>3777</v>
      </c>
      <c r="C2006" s="84" t="s">
        <v>922</v>
      </c>
      <c r="D2006" s="84" t="s">
        <v>1652</v>
      </c>
      <c r="E2006" s="84" t="s">
        <v>1640</v>
      </c>
      <c r="F2006" s="84" t="s">
        <v>998</v>
      </c>
    </row>
    <row r="2007" spans="1:6" hidden="1" x14ac:dyDescent="0.25">
      <c r="A2007" s="85" t="s">
        <v>3778</v>
      </c>
      <c r="B2007" s="85" t="s">
        <v>3778</v>
      </c>
      <c r="C2007" s="84" t="s">
        <v>922</v>
      </c>
      <c r="D2007" s="84" t="s">
        <v>1653</v>
      </c>
      <c r="E2007" s="84" t="s">
        <v>1640</v>
      </c>
      <c r="F2007" s="84" t="s">
        <v>998</v>
      </c>
    </row>
    <row r="2008" spans="1:6" hidden="1" x14ac:dyDescent="0.25">
      <c r="A2008" s="85" t="s">
        <v>3779</v>
      </c>
      <c r="B2008" s="85" t="s">
        <v>3779</v>
      </c>
      <c r="C2008" s="84" t="s">
        <v>922</v>
      </c>
      <c r="D2008" s="84" t="s">
        <v>1655</v>
      </c>
      <c r="E2008" s="84" t="s">
        <v>1640</v>
      </c>
      <c r="F2008" s="84" t="s">
        <v>998</v>
      </c>
    </row>
    <row r="2009" spans="1:6" hidden="1" x14ac:dyDescent="0.25">
      <c r="A2009" s="85">
        <v>92651</v>
      </c>
      <c r="B2009" s="85">
        <v>92651</v>
      </c>
      <c r="C2009" s="84" t="s">
        <v>2888</v>
      </c>
      <c r="D2009" s="84" t="s">
        <v>3780</v>
      </c>
      <c r="E2009" s="84" t="s">
        <v>1640</v>
      </c>
      <c r="F2009" s="84" t="s">
        <v>998</v>
      </c>
    </row>
    <row r="2010" spans="1:6" hidden="1" x14ac:dyDescent="0.25">
      <c r="A2010" s="85" t="s">
        <v>1656</v>
      </c>
      <c r="B2010" s="85" t="s">
        <v>1656</v>
      </c>
      <c r="C2010" s="84" t="s">
        <v>958</v>
      </c>
      <c r="D2010" s="84" t="s">
        <v>1657</v>
      </c>
      <c r="E2010" s="84" t="s">
        <v>1640</v>
      </c>
      <c r="F2010" s="84" t="s">
        <v>998</v>
      </c>
    </row>
    <row r="2011" spans="1:6" hidden="1" x14ac:dyDescent="0.25">
      <c r="A2011" s="85" t="s">
        <v>33</v>
      </c>
      <c r="B2011" s="85" t="s">
        <v>33</v>
      </c>
      <c r="C2011" s="84" t="s">
        <v>958</v>
      </c>
      <c r="D2011" s="84" t="s">
        <v>651</v>
      </c>
      <c r="E2011" s="84" t="s">
        <v>1640</v>
      </c>
      <c r="F2011" s="84" t="s">
        <v>998</v>
      </c>
    </row>
    <row r="2012" spans="1:6" hidden="1" x14ac:dyDescent="0.25">
      <c r="A2012" s="85" t="s">
        <v>1658</v>
      </c>
      <c r="B2012" s="85" t="s">
        <v>1658</v>
      </c>
      <c r="C2012" s="84" t="s">
        <v>958</v>
      </c>
      <c r="D2012" s="84" t="s">
        <v>1659</v>
      </c>
      <c r="E2012" s="84" t="s">
        <v>1640</v>
      </c>
      <c r="F2012" s="84" t="s">
        <v>998</v>
      </c>
    </row>
    <row r="2013" spans="1:6" hidden="1" x14ac:dyDescent="0.25">
      <c r="A2013" s="85" t="s">
        <v>3781</v>
      </c>
      <c r="B2013" s="85" t="s">
        <v>3781</v>
      </c>
      <c r="C2013" s="84" t="s">
        <v>958</v>
      </c>
      <c r="D2013" s="84" t="s">
        <v>3782</v>
      </c>
      <c r="E2013" s="84" t="s">
        <v>1640</v>
      </c>
      <c r="F2013" s="84" t="s">
        <v>998</v>
      </c>
    </row>
    <row r="2014" spans="1:6" hidden="1" x14ac:dyDescent="0.25">
      <c r="A2014" s="85" t="s">
        <v>34</v>
      </c>
      <c r="B2014" s="85" t="s">
        <v>34</v>
      </c>
      <c r="C2014" s="84" t="s">
        <v>958</v>
      </c>
      <c r="D2014" s="84" t="s">
        <v>652</v>
      </c>
      <c r="E2014" s="84" t="s">
        <v>1640</v>
      </c>
      <c r="F2014" s="84" t="s">
        <v>998</v>
      </c>
    </row>
    <row r="2015" spans="1:6" hidden="1" x14ac:dyDescent="0.25">
      <c r="A2015" s="85" t="s">
        <v>3783</v>
      </c>
      <c r="B2015" s="85" t="s">
        <v>3783</v>
      </c>
      <c r="C2015" s="84" t="s">
        <v>958</v>
      </c>
      <c r="D2015" s="84" t="s">
        <v>3784</v>
      </c>
      <c r="E2015" s="84" t="s">
        <v>1640</v>
      </c>
      <c r="F2015" s="84" t="s">
        <v>998</v>
      </c>
    </row>
    <row r="2016" spans="1:6" hidden="1" x14ac:dyDescent="0.25">
      <c r="A2016" s="85" t="s">
        <v>35</v>
      </c>
      <c r="B2016" s="85" t="s">
        <v>35</v>
      </c>
      <c r="C2016" s="84" t="s">
        <v>958</v>
      </c>
      <c r="D2016" s="84" t="s">
        <v>1660</v>
      </c>
      <c r="E2016" s="84" t="s">
        <v>1640</v>
      </c>
      <c r="F2016" s="84" t="s">
        <v>998</v>
      </c>
    </row>
    <row r="2017" spans="1:6" hidden="1" x14ac:dyDescent="0.25">
      <c r="A2017" s="85" t="s">
        <v>3785</v>
      </c>
      <c r="B2017" s="85" t="s">
        <v>3785</v>
      </c>
      <c r="C2017" s="84" t="s">
        <v>958</v>
      </c>
      <c r="D2017" s="84" t="s">
        <v>3786</v>
      </c>
      <c r="E2017" s="84" t="s">
        <v>1640</v>
      </c>
      <c r="F2017" s="84" t="s">
        <v>998</v>
      </c>
    </row>
    <row r="2018" spans="1:6" hidden="1" x14ac:dyDescent="0.25">
      <c r="A2018" s="88" t="s">
        <v>3787</v>
      </c>
      <c r="B2018" s="88" t="s">
        <v>3787</v>
      </c>
      <c r="C2018" s="86" t="s">
        <v>958</v>
      </c>
      <c r="D2018" s="86" t="s">
        <v>3788</v>
      </c>
      <c r="E2018" s="86" t="s">
        <v>1640</v>
      </c>
      <c r="F2018" s="86" t="s">
        <v>998</v>
      </c>
    </row>
    <row r="2019" spans="1:6" hidden="1" x14ac:dyDescent="0.25">
      <c r="A2019" s="85" t="s">
        <v>3789</v>
      </c>
      <c r="B2019" s="85" t="s">
        <v>3789</v>
      </c>
      <c r="C2019" s="84" t="s">
        <v>958</v>
      </c>
      <c r="D2019" s="84" t="s">
        <v>3790</v>
      </c>
      <c r="E2019" s="84" t="s">
        <v>1640</v>
      </c>
      <c r="F2019" s="84" t="s">
        <v>998</v>
      </c>
    </row>
    <row r="2020" spans="1:6" hidden="1" x14ac:dyDescent="0.25">
      <c r="A2020" s="85" t="s">
        <v>3791</v>
      </c>
      <c r="B2020" s="85" t="s">
        <v>3791</v>
      </c>
      <c r="C2020" s="84" t="s">
        <v>958</v>
      </c>
      <c r="D2020" s="84" t="s">
        <v>3792</v>
      </c>
      <c r="E2020" s="84" t="s">
        <v>1640</v>
      </c>
      <c r="F2020" s="84" t="s">
        <v>998</v>
      </c>
    </row>
    <row r="2021" spans="1:6" hidden="1" x14ac:dyDescent="0.25">
      <c r="A2021" s="85" t="s">
        <v>1661</v>
      </c>
      <c r="B2021" s="85" t="s">
        <v>3793</v>
      </c>
      <c r="C2021" s="84" t="s">
        <v>922</v>
      </c>
      <c r="D2021" s="84" t="s">
        <v>1662</v>
      </c>
      <c r="E2021" s="84" t="s">
        <v>1640</v>
      </c>
      <c r="F2021" s="84" t="s">
        <v>1663</v>
      </c>
    </row>
    <row r="2022" spans="1:6" hidden="1" x14ac:dyDescent="0.25">
      <c r="A2022" s="85" t="s">
        <v>1664</v>
      </c>
      <c r="B2022" s="85" t="s">
        <v>3794</v>
      </c>
      <c r="C2022" s="84" t="s">
        <v>922</v>
      </c>
      <c r="D2022" s="84" t="s">
        <v>1665</v>
      </c>
      <c r="E2022" s="84" t="s">
        <v>1640</v>
      </c>
      <c r="F2022" s="84" t="s">
        <v>1663</v>
      </c>
    </row>
    <row r="2023" spans="1:6" hidden="1" x14ac:dyDescent="0.25">
      <c r="A2023" s="85" t="s">
        <v>3795</v>
      </c>
      <c r="B2023" s="85" t="s">
        <v>3796</v>
      </c>
      <c r="C2023" s="84" t="s">
        <v>922</v>
      </c>
      <c r="D2023" s="84" t="s">
        <v>3797</v>
      </c>
      <c r="E2023" s="84" t="s">
        <v>1640</v>
      </c>
      <c r="F2023" s="84" t="s">
        <v>1039</v>
      </c>
    </row>
    <row r="2024" spans="1:6" hidden="1" x14ac:dyDescent="0.25">
      <c r="A2024" s="85" t="s">
        <v>3798</v>
      </c>
      <c r="B2024" s="85" t="s">
        <v>3798</v>
      </c>
      <c r="C2024" s="84" t="s">
        <v>958</v>
      </c>
      <c r="D2024" s="84" t="s">
        <v>3799</v>
      </c>
      <c r="E2024" s="84" t="s">
        <v>1640</v>
      </c>
      <c r="F2024" s="84" t="s">
        <v>1039</v>
      </c>
    </row>
    <row r="2025" spans="1:6" hidden="1" x14ac:dyDescent="0.25">
      <c r="A2025" s="85" t="s">
        <v>3800</v>
      </c>
      <c r="B2025" s="85" t="s">
        <v>3801</v>
      </c>
      <c r="C2025" s="84" t="s">
        <v>922</v>
      </c>
      <c r="D2025" s="84" t="s">
        <v>3802</v>
      </c>
      <c r="E2025" s="84" t="s">
        <v>1640</v>
      </c>
      <c r="F2025" s="84" t="s">
        <v>1043</v>
      </c>
    </row>
    <row r="2026" spans="1:6" hidden="1" x14ac:dyDescent="0.25">
      <c r="A2026" s="85" t="s">
        <v>184</v>
      </c>
      <c r="B2026" s="85" t="s">
        <v>3803</v>
      </c>
      <c r="C2026" s="84" t="s">
        <v>922</v>
      </c>
      <c r="D2026" s="84" t="s">
        <v>1666</v>
      </c>
      <c r="E2026" s="84" t="s">
        <v>1640</v>
      </c>
      <c r="F2026" s="84" t="s">
        <v>1043</v>
      </c>
    </row>
    <row r="2027" spans="1:6" hidden="1" x14ac:dyDescent="0.25">
      <c r="A2027" s="85" t="s">
        <v>3804</v>
      </c>
      <c r="B2027" s="85" t="s">
        <v>3804</v>
      </c>
      <c r="C2027" s="84" t="s">
        <v>922</v>
      </c>
      <c r="D2027" s="84" t="s">
        <v>1666</v>
      </c>
      <c r="E2027" s="84" t="s">
        <v>1640</v>
      </c>
      <c r="F2027" s="84" t="s">
        <v>1043</v>
      </c>
    </row>
    <row r="2028" spans="1:6" hidden="1" x14ac:dyDescent="0.25">
      <c r="A2028" s="85" t="s">
        <v>45</v>
      </c>
      <c r="B2028" s="85" t="s">
        <v>45</v>
      </c>
      <c r="C2028" s="84" t="s">
        <v>958</v>
      </c>
      <c r="D2028" s="84" t="s">
        <v>663</v>
      </c>
      <c r="E2028" s="84" t="s">
        <v>1640</v>
      </c>
      <c r="F2028" s="84" t="s">
        <v>1043</v>
      </c>
    </row>
    <row r="2029" spans="1:6" hidden="1" x14ac:dyDescent="0.25">
      <c r="A2029" s="85" t="s">
        <v>1667</v>
      </c>
      <c r="B2029" s="85" t="s">
        <v>1667</v>
      </c>
      <c r="C2029" s="84" t="s">
        <v>958</v>
      </c>
      <c r="D2029" s="84" t="s">
        <v>1668</v>
      </c>
      <c r="E2029" s="84" t="s">
        <v>1640</v>
      </c>
      <c r="F2029" s="84" t="s">
        <v>1043</v>
      </c>
    </row>
    <row r="2030" spans="1:6" hidden="1" x14ac:dyDescent="0.25">
      <c r="A2030" s="85" t="s">
        <v>3805</v>
      </c>
      <c r="B2030" s="85" t="s">
        <v>3805</v>
      </c>
      <c r="C2030" s="84" t="s">
        <v>922</v>
      </c>
      <c r="D2030" s="84" t="s">
        <v>3806</v>
      </c>
      <c r="E2030" s="84" t="s">
        <v>1640</v>
      </c>
      <c r="F2030" s="84" t="s">
        <v>1671</v>
      </c>
    </row>
    <row r="2031" spans="1:6" hidden="1" x14ac:dyDescent="0.25">
      <c r="A2031" s="85" t="s">
        <v>3807</v>
      </c>
      <c r="B2031" s="85" t="s">
        <v>3807</v>
      </c>
      <c r="C2031" s="84" t="s">
        <v>922</v>
      </c>
      <c r="D2031" s="84" t="s">
        <v>3808</v>
      </c>
      <c r="E2031" s="84" t="s">
        <v>1640</v>
      </c>
      <c r="F2031" s="84" t="s">
        <v>1671</v>
      </c>
    </row>
    <row r="2032" spans="1:6" hidden="1" x14ac:dyDescent="0.25">
      <c r="A2032" s="85" t="s">
        <v>3809</v>
      </c>
      <c r="B2032" s="85" t="s">
        <v>3809</v>
      </c>
      <c r="C2032" s="84" t="s">
        <v>922</v>
      </c>
      <c r="D2032" s="84" t="s">
        <v>3810</v>
      </c>
      <c r="E2032" s="84" t="s">
        <v>1640</v>
      </c>
      <c r="F2032" s="84" t="s">
        <v>1671</v>
      </c>
    </row>
    <row r="2033" spans="1:6" hidden="1" x14ac:dyDescent="0.25">
      <c r="A2033" s="85" t="s">
        <v>615</v>
      </c>
      <c r="B2033" s="85" t="s">
        <v>3811</v>
      </c>
      <c r="C2033" s="84" t="s">
        <v>922</v>
      </c>
      <c r="D2033" s="84" t="s">
        <v>3812</v>
      </c>
      <c r="E2033" s="84" t="s">
        <v>1640</v>
      </c>
      <c r="F2033" s="84" t="s">
        <v>1671</v>
      </c>
    </row>
    <row r="2034" spans="1:6" hidden="1" x14ac:dyDescent="0.25">
      <c r="A2034" s="85" t="s">
        <v>3813</v>
      </c>
      <c r="B2034" s="85" t="s">
        <v>3814</v>
      </c>
      <c r="C2034" s="84" t="s">
        <v>922</v>
      </c>
      <c r="D2034" s="84" t="s">
        <v>3815</v>
      </c>
      <c r="E2034" s="84" t="s">
        <v>1640</v>
      </c>
      <c r="F2034" s="84" t="s">
        <v>1671</v>
      </c>
    </row>
    <row r="2035" spans="1:6" hidden="1" x14ac:dyDescent="0.25">
      <c r="A2035" s="85" t="s">
        <v>3816</v>
      </c>
      <c r="B2035" s="85" t="s">
        <v>3817</v>
      </c>
      <c r="C2035" s="84" t="s">
        <v>922</v>
      </c>
      <c r="D2035" s="84" t="s">
        <v>3818</v>
      </c>
      <c r="E2035" s="84" t="s">
        <v>1640</v>
      </c>
      <c r="F2035" s="84" t="s">
        <v>1671</v>
      </c>
    </row>
    <row r="2036" spans="1:6" hidden="1" x14ac:dyDescent="0.25">
      <c r="A2036" s="85" t="s">
        <v>3819</v>
      </c>
      <c r="B2036" s="85" t="s">
        <v>3820</v>
      </c>
      <c r="C2036" s="84" t="s">
        <v>922</v>
      </c>
      <c r="D2036" s="84" t="s">
        <v>3821</v>
      </c>
      <c r="E2036" s="84" t="s">
        <v>1640</v>
      </c>
      <c r="F2036" s="84" t="s">
        <v>1671</v>
      </c>
    </row>
    <row r="2037" spans="1:6" hidden="1" x14ac:dyDescent="0.25">
      <c r="A2037" s="85" t="s">
        <v>3822</v>
      </c>
      <c r="B2037" s="85" t="s">
        <v>3823</v>
      </c>
      <c r="C2037" s="84" t="s">
        <v>922</v>
      </c>
      <c r="D2037" s="84" t="s">
        <v>3824</v>
      </c>
      <c r="E2037" s="84" t="s">
        <v>1640</v>
      </c>
      <c r="F2037" s="84" t="s">
        <v>1671</v>
      </c>
    </row>
    <row r="2038" spans="1:6" hidden="1" x14ac:dyDescent="0.25">
      <c r="A2038" s="85" t="s">
        <v>3825</v>
      </c>
      <c r="B2038" s="85" t="s">
        <v>3826</v>
      </c>
      <c r="C2038" s="84" t="s">
        <v>922</v>
      </c>
      <c r="D2038" s="84" t="s">
        <v>3827</v>
      </c>
      <c r="E2038" s="84" t="s">
        <v>1640</v>
      </c>
      <c r="F2038" s="84" t="s">
        <v>1671</v>
      </c>
    </row>
    <row r="2039" spans="1:6" hidden="1" x14ac:dyDescent="0.25">
      <c r="A2039" s="85" t="s">
        <v>3828</v>
      </c>
      <c r="B2039" s="85" t="s">
        <v>3829</v>
      </c>
      <c r="C2039" s="84" t="s">
        <v>922</v>
      </c>
      <c r="D2039" s="84" t="s">
        <v>3830</v>
      </c>
      <c r="E2039" s="84" t="s">
        <v>1640</v>
      </c>
      <c r="F2039" s="84" t="s">
        <v>1671</v>
      </c>
    </row>
    <row r="2040" spans="1:6" hidden="1" x14ac:dyDescent="0.25">
      <c r="A2040" s="85" t="s">
        <v>3831</v>
      </c>
      <c r="B2040" s="85" t="s">
        <v>3832</v>
      </c>
      <c r="C2040" s="84" t="s">
        <v>922</v>
      </c>
      <c r="D2040" s="84" t="s">
        <v>3833</v>
      </c>
      <c r="E2040" s="84" t="s">
        <v>1640</v>
      </c>
      <c r="F2040" s="84" t="s">
        <v>1671</v>
      </c>
    </row>
    <row r="2041" spans="1:6" hidden="1" x14ac:dyDescent="0.25">
      <c r="A2041" s="85" t="s">
        <v>3834</v>
      </c>
      <c r="B2041" s="85" t="s">
        <v>3835</v>
      </c>
      <c r="C2041" s="84" t="s">
        <v>922</v>
      </c>
      <c r="D2041" s="84" t="s">
        <v>3836</v>
      </c>
      <c r="E2041" s="84" t="s">
        <v>1640</v>
      </c>
      <c r="F2041" s="84" t="s">
        <v>1671</v>
      </c>
    </row>
    <row r="2042" spans="1:6" hidden="1" x14ac:dyDescent="0.25">
      <c r="A2042" s="85" t="s">
        <v>3837</v>
      </c>
      <c r="B2042" s="85" t="s">
        <v>3838</v>
      </c>
      <c r="C2042" s="84" t="s">
        <v>922</v>
      </c>
      <c r="D2042" s="84" t="s">
        <v>3839</v>
      </c>
      <c r="E2042" s="84" t="s">
        <v>1640</v>
      </c>
      <c r="F2042" s="84" t="s">
        <v>1671</v>
      </c>
    </row>
    <row r="2043" spans="1:6" hidden="1" x14ac:dyDescent="0.25">
      <c r="A2043" s="85" t="s">
        <v>3840</v>
      </c>
      <c r="B2043" s="85" t="s">
        <v>3841</v>
      </c>
      <c r="C2043" s="84" t="s">
        <v>922</v>
      </c>
      <c r="D2043" s="84" t="s">
        <v>3842</v>
      </c>
      <c r="E2043" s="84" t="s">
        <v>1640</v>
      </c>
      <c r="F2043" s="84" t="s">
        <v>1671</v>
      </c>
    </row>
    <row r="2044" spans="1:6" hidden="1" x14ac:dyDescent="0.25">
      <c r="A2044" s="85" t="s">
        <v>3843</v>
      </c>
      <c r="B2044" s="85" t="s">
        <v>3844</v>
      </c>
      <c r="C2044" s="84" t="s">
        <v>922</v>
      </c>
      <c r="D2044" s="84" t="s">
        <v>3845</v>
      </c>
      <c r="E2044" s="84" t="s">
        <v>1640</v>
      </c>
      <c r="F2044" s="84" t="s">
        <v>1671</v>
      </c>
    </row>
    <row r="2045" spans="1:6" hidden="1" x14ac:dyDescent="0.25">
      <c r="A2045" s="85" t="s">
        <v>3846</v>
      </c>
      <c r="B2045" s="85" t="s">
        <v>3847</v>
      </c>
      <c r="C2045" s="84" t="s">
        <v>922</v>
      </c>
      <c r="D2045" s="84" t="s">
        <v>3848</v>
      </c>
      <c r="E2045" s="84" t="s">
        <v>1640</v>
      </c>
      <c r="F2045" s="84" t="s">
        <v>1671</v>
      </c>
    </row>
    <row r="2046" spans="1:6" hidden="1" x14ac:dyDescent="0.25">
      <c r="A2046" s="85" t="s">
        <v>3849</v>
      </c>
      <c r="B2046" s="85" t="s">
        <v>3850</v>
      </c>
      <c r="C2046" s="84" t="s">
        <v>922</v>
      </c>
      <c r="D2046" s="84" t="s">
        <v>3851</v>
      </c>
      <c r="E2046" s="84" t="s">
        <v>1640</v>
      </c>
      <c r="F2046" s="84" t="s">
        <v>1671</v>
      </c>
    </row>
    <row r="2047" spans="1:6" hidden="1" x14ac:dyDescent="0.25">
      <c r="A2047" s="85" t="s">
        <v>3852</v>
      </c>
      <c r="B2047" s="85" t="s">
        <v>3853</v>
      </c>
      <c r="C2047" s="84" t="s">
        <v>922</v>
      </c>
      <c r="D2047" s="84" t="s">
        <v>3854</v>
      </c>
      <c r="E2047" s="84" t="s">
        <v>1640</v>
      </c>
      <c r="F2047" s="84" t="s">
        <v>1671</v>
      </c>
    </row>
    <row r="2048" spans="1:6" hidden="1" x14ac:dyDescent="0.25">
      <c r="A2048" s="85" t="s">
        <v>3855</v>
      </c>
      <c r="B2048" s="85" t="s">
        <v>3856</v>
      </c>
      <c r="C2048" s="84" t="s">
        <v>922</v>
      </c>
      <c r="D2048" s="84" t="s">
        <v>3857</v>
      </c>
      <c r="E2048" s="84" t="s">
        <v>1640</v>
      </c>
      <c r="F2048" s="84" t="s">
        <v>1671</v>
      </c>
    </row>
    <row r="2049" spans="1:6" hidden="1" x14ac:dyDescent="0.25">
      <c r="A2049" s="85" t="s">
        <v>326</v>
      </c>
      <c r="B2049" s="85" t="s">
        <v>3858</v>
      </c>
      <c r="C2049" s="84" t="s">
        <v>922</v>
      </c>
      <c r="D2049" s="84" t="s">
        <v>3859</v>
      </c>
      <c r="E2049" s="84" t="s">
        <v>1640</v>
      </c>
      <c r="F2049" s="84" t="s">
        <v>1671</v>
      </c>
    </row>
    <row r="2050" spans="1:6" hidden="1" x14ac:dyDescent="0.25">
      <c r="A2050" s="85" t="s">
        <v>325</v>
      </c>
      <c r="B2050" s="85" t="s">
        <v>3860</v>
      </c>
      <c r="C2050" s="84" t="s">
        <v>922</v>
      </c>
      <c r="D2050" s="84" t="s">
        <v>3861</v>
      </c>
      <c r="E2050" s="84" t="s">
        <v>1640</v>
      </c>
      <c r="F2050" s="84" t="s">
        <v>1671</v>
      </c>
    </row>
    <row r="2051" spans="1:6" hidden="1" x14ac:dyDescent="0.25">
      <c r="A2051" s="85" t="s">
        <v>3862</v>
      </c>
      <c r="B2051" s="85" t="s">
        <v>3863</v>
      </c>
      <c r="C2051" s="84" t="s">
        <v>922</v>
      </c>
      <c r="D2051" s="84" t="s">
        <v>3864</v>
      </c>
      <c r="E2051" s="84" t="s">
        <v>1640</v>
      </c>
      <c r="F2051" s="84" t="s">
        <v>1671</v>
      </c>
    </row>
    <row r="2052" spans="1:6" hidden="1" x14ac:dyDescent="0.25">
      <c r="A2052" s="85" t="s">
        <v>3865</v>
      </c>
      <c r="B2052" s="85" t="s">
        <v>3866</v>
      </c>
      <c r="C2052" s="84" t="s">
        <v>922</v>
      </c>
      <c r="D2052" s="84" t="s">
        <v>3867</v>
      </c>
      <c r="E2052" s="84" t="s">
        <v>1640</v>
      </c>
      <c r="F2052" s="84" t="s">
        <v>1671</v>
      </c>
    </row>
    <row r="2053" spans="1:6" hidden="1" x14ac:dyDescent="0.25">
      <c r="A2053" s="85" t="s">
        <v>3868</v>
      </c>
      <c r="B2053" s="85" t="s">
        <v>3869</v>
      </c>
      <c r="C2053" s="84" t="s">
        <v>922</v>
      </c>
      <c r="D2053" s="84" t="s">
        <v>3870</v>
      </c>
      <c r="E2053" s="84" t="s">
        <v>1640</v>
      </c>
      <c r="F2053" s="84" t="s">
        <v>1671</v>
      </c>
    </row>
    <row r="2054" spans="1:6" hidden="1" x14ac:dyDescent="0.25">
      <c r="A2054" s="85" t="s">
        <v>3871</v>
      </c>
      <c r="B2054" s="85" t="s">
        <v>3872</v>
      </c>
      <c r="C2054" s="84" t="s">
        <v>922</v>
      </c>
      <c r="D2054" s="84" t="s">
        <v>3873</v>
      </c>
      <c r="E2054" s="84" t="s">
        <v>1640</v>
      </c>
      <c r="F2054" s="84" t="s">
        <v>1671</v>
      </c>
    </row>
    <row r="2055" spans="1:6" hidden="1" x14ac:dyDescent="0.25">
      <c r="A2055" s="85" t="s">
        <v>3874</v>
      </c>
      <c r="B2055" s="85" t="s">
        <v>3875</v>
      </c>
      <c r="C2055" s="84" t="s">
        <v>922</v>
      </c>
      <c r="D2055" s="84" t="s">
        <v>3876</v>
      </c>
      <c r="E2055" s="84" t="s">
        <v>1640</v>
      </c>
      <c r="F2055" s="84" t="s">
        <v>1671</v>
      </c>
    </row>
    <row r="2056" spans="1:6" hidden="1" x14ac:dyDescent="0.25">
      <c r="A2056" s="85" t="s">
        <v>3877</v>
      </c>
      <c r="B2056" s="85" t="s">
        <v>3878</v>
      </c>
      <c r="C2056" s="84" t="s">
        <v>922</v>
      </c>
      <c r="D2056" s="84" t="s">
        <v>3879</v>
      </c>
      <c r="E2056" s="84" t="s">
        <v>1640</v>
      </c>
      <c r="F2056" s="84" t="s">
        <v>1671</v>
      </c>
    </row>
    <row r="2057" spans="1:6" hidden="1" x14ac:dyDescent="0.25">
      <c r="A2057" s="85" t="s">
        <v>3880</v>
      </c>
      <c r="B2057" s="85" t="s">
        <v>3881</v>
      </c>
      <c r="C2057" s="84" t="s">
        <v>922</v>
      </c>
      <c r="D2057" s="84" t="s">
        <v>3100</v>
      </c>
      <c r="E2057" s="84" t="s">
        <v>1640</v>
      </c>
      <c r="F2057" s="84" t="s">
        <v>1671</v>
      </c>
    </row>
    <row r="2058" spans="1:6" hidden="1" x14ac:dyDescent="0.25">
      <c r="A2058" s="85" t="s">
        <v>789</v>
      </c>
      <c r="B2058" s="85" t="s">
        <v>789</v>
      </c>
      <c r="C2058" s="84" t="s">
        <v>958</v>
      </c>
      <c r="D2058" s="84" t="s">
        <v>3882</v>
      </c>
      <c r="E2058" s="84" t="s">
        <v>1640</v>
      </c>
      <c r="F2058" s="84" t="s">
        <v>1671</v>
      </c>
    </row>
    <row r="2059" spans="1:6" hidden="1" x14ac:dyDescent="0.25">
      <c r="A2059" s="85" t="s">
        <v>3883</v>
      </c>
      <c r="B2059" s="85" t="s">
        <v>3883</v>
      </c>
      <c r="C2059" s="84" t="s">
        <v>958</v>
      </c>
      <c r="D2059" s="84" t="s">
        <v>3884</v>
      </c>
      <c r="E2059" s="84" t="s">
        <v>1640</v>
      </c>
      <c r="F2059" s="84" t="s">
        <v>1671</v>
      </c>
    </row>
    <row r="2060" spans="1:6" hidden="1" x14ac:dyDescent="0.25">
      <c r="A2060" s="85" t="s">
        <v>3885</v>
      </c>
      <c r="B2060" s="85" t="s">
        <v>3885</v>
      </c>
      <c r="C2060" s="84" t="s">
        <v>958</v>
      </c>
      <c r="D2060" s="84" t="s">
        <v>3886</v>
      </c>
      <c r="E2060" s="84" t="s">
        <v>1640</v>
      </c>
      <c r="F2060" s="84" t="s">
        <v>1671</v>
      </c>
    </row>
    <row r="2061" spans="1:6" hidden="1" x14ac:dyDescent="0.25">
      <c r="A2061" s="85" t="s">
        <v>3887</v>
      </c>
      <c r="B2061" s="85" t="s">
        <v>3887</v>
      </c>
      <c r="C2061" s="84" t="s">
        <v>958</v>
      </c>
      <c r="D2061" s="84" t="s">
        <v>3888</v>
      </c>
      <c r="E2061" s="84" t="s">
        <v>1640</v>
      </c>
      <c r="F2061" s="84" t="s">
        <v>1671</v>
      </c>
    </row>
    <row r="2062" spans="1:6" hidden="1" x14ac:dyDescent="0.25">
      <c r="A2062" s="85" t="s">
        <v>3889</v>
      </c>
      <c r="B2062" s="85" t="s">
        <v>3889</v>
      </c>
      <c r="C2062" s="84" t="s">
        <v>958</v>
      </c>
      <c r="D2062" s="84" t="s">
        <v>3890</v>
      </c>
      <c r="E2062" s="84" t="s">
        <v>1640</v>
      </c>
      <c r="F2062" s="84" t="s">
        <v>1671</v>
      </c>
    </row>
    <row r="2063" spans="1:6" hidden="1" x14ac:dyDescent="0.25">
      <c r="A2063" s="85" t="s">
        <v>3891</v>
      </c>
      <c r="B2063" s="85" t="s">
        <v>3891</v>
      </c>
      <c r="C2063" s="84" t="s">
        <v>958</v>
      </c>
      <c r="D2063" s="84" t="s">
        <v>3892</v>
      </c>
      <c r="E2063" s="84" t="s">
        <v>1640</v>
      </c>
      <c r="F2063" s="84" t="s">
        <v>1671</v>
      </c>
    </row>
    <row r="2064" spans="1:6" hidden="1" x14ac:dyDescent="0.25">
      <c r="A2064" s="85" t="s">
        <v>3893</v>
      </c>
      <c r="B2064" s="85" t="s">
        <v>3893</v>
      </c>
      <c r="C2064" s="84" t="s">
        <v>958</v>
      </c>
      <c r="D2064" s="84" t="s">
        <v>3894</v>
      </c>
      <c r="E2064" s="84" t="s">
        <v>1640</v>
      </c>
      <c r="F2064" s="84" t="s">
        <v>1671</v>
      </c>
    </row>
    <row r="2065" spans="1:6" hidden="1" x14ac:dyDescent="0.25">
      <c r="A2065" s="85" t="s">
        <v>3895</v>
      </c>
      <c r="B2065" s="85" t="s">
        <v>3895</v>
      </c>
      <c r="C2065" s="84" t="s">
        <v>958</v>
      </c>
      <c r="D2065" s="84" t="s">
        <v>3896</v>
      </c>
      <c r="E2065" s="84" t="s">
        <v>1640</v>
      </c>
      <c r="F2065" s="84" t="s">
        <v>1671</v>
      </c>
    </row>
    <row r="2066" spans="1:6" hidden="1" x14ac:dyDescent="0.25">
      <c r="A2066" s="85" t="s">
        <v>1710</v>
      </c>
      <c r="B2066" s="85" t="s">
        <v>1710</v>
      </c>
      <c r="C2066" s="84" t="s">
        <v>958</v>
      </c>
      <c r="D2066" s="84" t="s">
        <v>3897</v>
      </c>
      <c r="E2066" s="84" t="s">
        <v>1640</v>
      </c>
      <c r="F2066" s="84" t="s">
        <v>1671</v>
      </c>
    </row>
    <row r="2067" spans="1:6" hidden="1" x14ac:dyDescent="0.25">
      <c r="A2067" s="85" t="s">
        <v>3898</v>
      </c>
      <c r="B2067" s="85" t="s">
        <v>3898</v>
      </c>
      <c r="C2067" s="84" t="s">
        <v>958</v>
      </c>
      <c r="D2067" s="84" t="s">
        <v>3899</v>
      </c>
      <c r="E2067" s="84" t="s">
        <v>1640</v>
      </c>
      <c r="F2067" s="84" t="s">
        <v>1671</v>
      </c>
    </row>
    <row r="2068" spans="1:6" hidden="1" x14ac:dyDescent="0.25">
      <c r="A2068" s="85" t="s">
        <v>3900</v>
      </c>
      <c r="B2068" s="85" t="s">
        <v>3900</v>
      </c>
      <c r="C2068" s="84" t="s">
        <v>958</v>
      </c>
      <c r="D2068" s="84" t="s">
        <v>3901</v>
      </c>
      <c r="E2068" s="84" t="s">
        <v>1640</v>
      </c>
      <c r="F2068" s="84" t="s">
        <v>1671</v>
      </c>
    </row>
    <row r="2069" spans="1:6" hidden="1" x14ac:dyDescent="0.25">
      <c r="A2069" s="85" t="s">
        <v>3902</v>
      </c>
      <c r="B2069" s="85" t="s">
        <v>3902</v>
      </c>
      <c r="C2069" s="84" t="s">
        <v>958</v>
      </c>
      <c r="D2069" s="84" t="s">
        <v>3903</v>
      </c>
      <c r="E2069" s="84" t="s">
        <v>1640</v>
      </c>
      <c r="F2069" s="84" t="s">
        <v>1671</v>
      </c>
    </row>
    <row r="2070" spans="1:6" hidden="1" x14ac:dyDescent="0.25">
      <c r="A2070" s="85" t="s">
        <v>3904</v>
      </c>
      <c r="B2070" s="85" t="s">
        <v>3904</v>
      </c>
      <c r="C2070" s="84" t="s">
        <v>958</v>
      </c>
      <c r="D2070" s="84" t="s">
        <v>3905</v>
      </c>
      <c r="E2070" s="84" t="s">
        <v>1640</v>
      </c>
      <c r="F2070" s="84" t="s">
        <v>1671</v>
      </c>
    </row>
    <row r="2071" spans="1:6" hidden="1" x14ac:dyDescent="0.25">
      <c r="A2071" s="85" t="s">
        <v>3906</v>
      </c>
      <c r="B2071" s="85" t="s">
        <v>3906</v>
      </c>
      <c r="C2071" s="84" t="s">
        <v>958</v>
      </c>
      <c r="D2071" s="84" t="s">
        <v>3907</v>
      </c>
      <c r="E2071" s="84" t="s">
        <v>1640</v>
      </c>
      <c r="F2071" s="84" t="s">
        <v>1671</v>
      </c>
    </row>
    <row r="2072" spans="1:6" hidden="1" x14ac:dyDescent="0.25">
      <c r="A2072" s="85" t="s">
        <v>3908</v>
      </c>
      <c r="B2072" s="85" t="s">
        <v>3908</v>
      </c>
      <c r="C2072" s="84" t="s">
        <v>958</v>
      </c>
      <c r="D2072" s="84" t="s">
        <v>3909</v>
      </c>
      <c r="E2072" s="84" t="s">
        <v>1640</v>
      </c>
      <c r="F2072" s="84" t="s">
        <v>1671</v>
      </c>
    </row>
    <row r="2073" spans="1:6" hidden="1" x14ac:dyDescent="0.25">
      <c r="A2073" s="85" t="s">
        <v>3910</v>
      </c>
      <c r="B2073" s="85" t="s">
        <v>3910</v>
      </c>
      <c r="C2073" s="84" t="s">
        <v>958</v>
      </c>
      <c r="D2073" s="84" t="s">
        <v>3911</v>
      </c>
      <c r="E2073" s="84" t="s">
        <v>1640</v>
      </c>
      <c r="F2073" s="84" t="s">
        <v>1671</v>
      </c>
    </row>
    <row r="2074" spans="1:6" hidden="1" x14ac:dyDescent="0.25">
      <c r="A2074" s="85" t="s">
        <v>3912</v>
      </c>
      <c r="B2074" s="85" t="s">
        <v>3912</v>
      </c>
      <c r="C2074" s="84" t="s">
        <v>958</v>
      </c>
      <c r="D2074" s="84" t="s">
        <v>3913</v>
      </c>
      <c r="E2074" s="84" t="s">
        <v>1640</v>
      </c>
      <c r="F2074" s="84" t="s">
        <v>1671</v>
      </c>
    </row>
    <row r="2075" spans="1:6" hidden="1" x14ac:dyDescent="0.25">
      <c r="A2075" s="85" t="s">
        <v>3914</v>
      </c>
      <c r="B2075" s="85" t="s">
        <v>3914</v>
      </c>
      <c r="C2075" s="84" t="s">
        <v>958</v>
      </c>
      <c r="D2075" s="84" t="s">
        <v>3915</v>
      </c>
      <c r="E2075" s="84" t="s">
        <v>1640</v>
      </c>
      <c r="F2075" s="84" t="s">
        <v>1671</v>
      </c>
    </row>
    <row r="2076" spans="1:6" hidden="1" x14ac:dyDescent="0.25">
      <c r="A2076" s="85" t="s">
        <v>3916</v>
      </c>
      <c r="B2076" s="85" t="s">
        <v>3916</v>
      </c>
      <c r="C2076" s="84" t="s">
        <v>958</v>
      </c>
      <c r="D2076" s="84" t="s">
        <v>3917</v>
      </c>
      <c r="E2076" s="84" t="s">
        <v>1640</v>
      </c>
      <c r="F2076" s="84" t="s">
        <v>1671</v>
      </c>
    </row>
    <row r="2077" spans="1:6" hidden="1" x14ac:dyDescent="0.25">
      <c r="A2077" s="85" t="s">
        <v>3918</v>
      </c>
      <c r="B2077" s="85" t="s">
        <v>3918</v>
      </c>
      <c r="C2077" s="84" t="s">
        <v>958</v>
      </c>
      <c r="D2077" s="84" t="s">
        <v>3919</v>
      </c>
      <c r="E2077" s="84" t="s">
        <v>1640</v>
      </c>
      <c r="F2077" s="84" t="s">
        <v>1671</v>
      </c>
    </row>
    <row r="2078" spans="1:6" hidden="1" x14ac:dyDescent="0.25">
      <c r="A2078" s="85" t="s">
        <v>3920</v>
      </c>
      <c r="B2078" s="85" t="s">
        <v>3920</v>
      </c>
      <c r="C2078" s="84" t="s">
        <v>958</v>
      </c>
      <c r="D2078" s="84" t="s">
        <v>3921</v>
      </c>
      <c r="E2078" s="84" t="s">
        <v>1640</v>
      </c>
      <c r="F2078" s="84" t="s">
        <v>1671</v>
      </c>
    </row>
    <row r="2079" spans="1:6" hidden="1" x14ac:dyDescent="0.25">
      <c r="A2079" s="85" t="s">
        <v>3922</v>
      </c>
      <c r="B2079" s="85" t="s">
        <v>3922</v>
      </c>
      <c r="C2079" s="84" t="s">
        <v>958</v>
      </c>
      <c r="D2079" s="84" t="s">
        <v>3923</v>
      </c>
      <c r="E2079" s="84" t="s">
        <v>1640</v>
      </c>
      <c r="F2079" s="84" t="s">
        <v>1671</v>
      </c>
    </row>
    <row r="2080" spans="1:6" hidden="1" x14ac:dyDescent="0.25">
      <c r="A2080" s="85" t="s">
        <v>3924</v>
      </c>
      <c r="B2080" s="85" t="s">
        <v>3924</v>
      </c>
      <c r="C2080" s="84" t="s">
        <v>958</v>
      </c>
      <c r="D2080" s="84" t="s">
        <v>3925</v>
      </c>
      <c r="E2080" s="84" t="s">
        <v>1640</v>
      </c>
      <c r="F2080" s="84" t="s">
        <v>1671</v>
      </c>
    </row>
    <row r="2081" spans="1:6" hidden="1" x14ac:dyDescent="0.25">
      <c r="A2081" s="85" t="s">
        <v>3926</v>
      </c>
      <c r="B2081" s="85" t="s">
        <v>3926</v>
      </c>
      <c r="C2081" s="84" t="s">
        <v>958</v>
      </c>
      <c r="D2081" s="84" t="s">
        <v>3927</v>
      </c>
      <c r="E2081" s="84" t="s">
        <v>1640</v>
      </c>
      <c r="F2081" s="84" t="s">
        <v>1671</v>
      </c>
    </row>
    <row r="2082" spans="1:6" hidden="1" x14ac:dyDescent="0.25">
      <c r="A2082" s="85" t="s">
        <v>3928</v>
      </c>
      <c r="B2082" s="85" t="s">
        <v>3928</v>
      </c>
      <c r="C2082" s="84" t="s">
        <v>958</v>
      </c>
      <c r="D2082" s="84" t="s">
        <v>3929</v>
      </c>
      <c r="E2082" s="84" t="s">
        <v>1640</v>
      </c>
      <c r="F2082" s="84" t="s">
        <v>1671</v>
      </c>
    </row>
    <row r="2083" spans="1:6" hidden="1" x14ac:dyDescent="0.25">
      <c r="A2083" s="85" t="s">
        <v>3930</v>
      </c>
      <c r="B2083" s="85" t="s">
        <v>3930</v>
      </c>
      <c r="C2083" s="84" t="s">
        <v>958</v>
      </c>
      <c r="D2083" s="84" t="s">
        <v>3931</v>
      </c>
      <c r="E2083" s="84" t="s">
        <v>1640</v>
      </c>
      <c r="F2083" s="84" t="s">
        <v>1671</v>
      </c>
    </row>
    <row r="2084" spans="1:6" hidden="1" x14ac:dyDescent="0.25">
      <c r="A2084" s="85" t="s">
        <v>3932</v>
      </c>
      <c r="B2084" s="85" t="s">
        <v>3932</v>
      </c>
      <c r="C2084" s="84" t="s">
        <v>958</v>
      </c>
      <c r="D2084" s="84" t="s">
        <v>3933</v>
      </c>
      <c r="E2084" s="84" t="s">
        <v>1640</v>
      </c>
      <c r="F2084" s="84" t="s">
        <v>1671</v>
      </c>
    </row>
    <row r="2085" spans="1:6" hidden="1" x14ac:dyDescent="0.25">
      <c r="A2085" s="85" t="s">
        <v>3934</v>
      </c>
      <c r="B2085" s="85" t="s">
        <v>3934</v>
      </c>
      <c r="C2085" s="84" t="s">
        <v>958</v>
      </c>
      <c r="D2085" s="84" t="s">
        <v>3935</v>
      </c>
      <c r="E2085" s="84" t="s">
        <v>1640</v>
      </c>
      <c r="F2085" s="84" t="s">
        <v>1671</v>
      </c>
    </row>
    <row r="2086" spans="1:6" hidden="1" x14ac:dyDescent="0.25">
      <c r="A2086" s="85" t="s">
        <v>3936</v>
      </c>
      <c r="B2086" s="85" t="s">
        <v>3936</v>
      </c>
      <c r="C2086" s="84" t="s">
        <v>958</v>
      </c>
      <c r="D2086" s="84" t="s">
        <v>3937</v>
      </c>
      <c r="E2086" s="84" t="s">
        <v>1640</v>
      </c>
      <c r="F2086" s="84" t="s">
        <v>1671</v>
      </c>
    </row>
    <row r="2087" spans="1:6" hidden="1" x14ac:dyDescent="0.25">
      <c r="A2087" s="85" t="s">
        <v>3938</v>
      </c>
      <c r="B2087" s="85" t="s">
        <v>3938</v>
      </c>
      <c r="C2087" s="84" t="s">
        <v>958</v>
      </c>
      <c r="D2087" s="84" t="s">
        <v>3939</v>
      </c>
      <c r="E2087" s="84" t="s">
        <v>1640</v>
      </c>
      <c r="F2087" s="84" t="s">
        <v>1671</v>
      </c>
    </row>
    <row r="2088" spans="1:6" hidden="1" x14ac:dyDescent="0.25">
      <c r="A2088" s="85" t="s">
        <v>3940</v>
      </c>
      <c r="B2088" s="85" t="s">
        <v>3940</v>
      </c>
      <c r="C2088" s="84" t="s">
        <v>958</v>
      </c>
      <c r="D2088" s="84" t="s">
        <v>3941</v>
      </c>
      <c r="E2088" s="84" t="s">
        <v>1640</v>
      </c>
      <c r="F2088" s="84" t="s">
        <v>1671</v>
      </c>
    </row>
    <row r="2089" spans="1:6" hidden="1" x14ac:dyDescent="0.25">
      <c r="A2089" s="85" t="s">
        <v>3942</v>
      </c>
      <c r="B2089" s="85" t="s">
        <v>3942</v>
      </c>
      <c r="C2089" s="84" t="s">
        <v>958</v>
      </c>
      <c r="D2089" s="84" t="s">
        <v>3943</v>
      </c>
      <c r="E2089" s="84" t="s">
        <v>1640</v>
      </c>
      <c r="F2089" s="84" t="s">
        <v>1671</v>
      </c>
    </row>
    <row r="2090" spans="1:6" hidden="1" x14ac:dyDescent="0.25">
      <c r="A2090" s="85" t="s">
        <v>317</v>
      </c>
      <c r="B2090" s="85" t="s">
        <v>317</v>
      </c>
      <c r="C2090" s="84" t="s">
        <v>958</v>
      </c>
      <c r="D2090" s="84" t="s">
        <v>318</v>
      </c>
      <c r="E2090" s="84" t="s">
        <v>1640</v>
      </c>
      <c r="F2090" s="84" t="s">
        <v>1671</v>
      </c>
    </row>
    <row r="2091" spans="1:6" hidden="1" x14ac:dyDescent="0.25">
      <c r="A2091" s="85" t="s">
        <v>765</v>
      </c>
      <c r="B2091" s="85" t="s">
        <v>765</v>
      </c>
      <c r="C2091" s="84" t="s">
        <v>958</v>
      </c>
      <c r="D2091" s="84" t="s">
        <v>3944</v>
      </c>
      <c r="E2091" s="84" t="s">
        <v>1640</v>
      </c>
      <c r="F2091" s="84" t="s">
        <v>1671</v>
      </c>
    </row>
    <row r="2092" spans="1:6" hidden="1" x14ac:dyDescent="0.25">
      <c r="A2092" s="85" t="s">
        <v>315</v>
      </c>
      <c r="B2092" s="85" t="s">
        <v>315</v>
      </c>
      <c r="C2092" s="84" t="s">
        <v>958</v>
      </c>
      <c r="D2092" s="84" t="s">
        <v>316</v>
      </c>
      <c r="E2092" s="84" t="s">
        <v>1640</v>
      </c>
      <c r="F2092" s="84" t="s">
        <v>1671</v>
      </c>
    </row>
    <row r="2093" spans="1:6" hidden="1" x14ac:dyDescent="0.25">
      <c r="A2093" s="85" t="s">
        <v>766</v>
      </c>
      <c r="B2093" s="85" t="s">
        <v>766</v>
      </c>
      <c r="C2093" s="84" t="s">
        <v>958</v>
      </c>
      <c r="D2093" s="84" t="s">
        <v>3945</v>
      </c>
      <c r="E2093" s="84" t="s">
        <v>1640</v>
      </c>
      <c r="F2093" s="84" t="s">
        <v>1671</v>
      </c>
    </row>
    <row r="2094" spans="1:6" hidden="1" x14ac:dyDescent="0.25">
      <c r="A2094" s="85" t="s">
        <v>3946</v>
      </c>
      <c r="B2094" s="85" t="s">
        <v>3946</v>
      </c>
      <c r="C2094" s="84" t="s">
        <v>958</v>
      </c>
      <c r="D2094" s="84" t="s">
        <v>3947</v>
      </c>
      <c r="E2094" s="84" t="s">
        <v>1640</v>
      </c>
      <c r="F2094" s="84" t="s">
        <v>1671</v>
      </c>
    </row>
    <row r="2095" spans="1:6" hidden="1" x14ac:dyDescent="0.25">
      <c r="A2095" s="85" t="s">
        <v>3948</v>
      </c>
      <c r="B2095" s="85" t="s">
        <v>3948</v>
      </c>
      <c r="C2095" s="84" t="s">
        <v>958</v>
      </c>
      <c r="D2095" s="84" t="s">
        <v>3949</v>
      </c>
      <c r="E2095" s="84" t="s">
        <v>1640</v>
      </c>
      <c r="F2095" s="84" t="s">
        <v>1671</v>
      </c>
    </row>
    <row r="2096" spans="1:6" hidden="1" x14ac:dyDescent="0.25">
      <c r="A2096" s="85" t="s">
        <v>3950</v>
      </c>
      <c r="B2096" s="85" t="s">
        <v>3950</v>
      </c>
      <c r="C2096" s="84" t="s">
        <v>958</v>
      </c>
      <c r="D2096" s="84" t="s">
        <v>3951</v>
      </c>
      <c r="E2096" s="84" t="s">
        <v>1640</v>
      </c>
      <c r="F2096" s="84" t="s">
        <v>1671</v>
      </c>
    </row>
    <row r="2097" spans="1:6" hidden="1" x14ac:dyDescent="0.25">
      <c r="A2097" s="85" t="s">
        <v>3952</v>
      </c>
      <c r="B2097" s="85" t="s">
        <v>3952</v>
      </c>
      <c r="C2097" s="84" t="s">
        <v>958</v>
      </c>
      <c r="D2097" s="84" t="s">
        <v>3953</v>
      </c>
      <c r="E2097" s="84" t="s">
        <v>1640</v>
      </c>
      <c r="F2097" s="84" t="s">
        <v>1671</v>
      </c>
    </row>
    <row r="2098" spans="1:6" hidden="1" x14ac:dyDescent="0.25">
      <c r="A2098" s="85" t="s">
        <v>3954</v>
      </c>
      <c r="B2098" s="85" t="s">
        <v>3954</v>
      </c>
      <c r="C2098" s="84" t="s">
        <v>958</v>
      </c>
      <c r="D2098" s="84" t="s">
        <v>3955</v>
      </c>
      <c r="E2098" s="84" t="s">
        <v>1640</v>
      </c>
      <c r="F2098" s="84" t="s">
        <v>1671</v>
      </c>
    </row>
    <row r="2099" spans="1:6" hidden="1" x14ac:dyDescent="0.25">
      <c r="A2099" s="85" t="s">
        <v>3956</v>
      </c>
      <c r="B2099" s="85" t="s">
        <v>3956</v>
      </c>
      <c r="C2099" s="84" t="s">
        <v>958</v>
      </c>
      <c r="D2099" s="84" t="s">
        <v>3957</v>
      </c>
      <c r="E2099" s="84" t="s">
        <v>1640</v>
      </c>
      <c r="F2099" s="84" t="s">
        <v>1671</v>
      </c>
    </row>
    <row r="2100" spans="1:6" hidden="1" x14ac:dyDescent="0.25">
      <c r="A2100" s="85" t="s">
        <v>3958</v>
      </c>
      <c r="B2100" s="85" t="s">
        <v>3958</v>
      </c>
      <c r="C2100" s="84" t="s">
        <v>958</v>
      </c>
      <c r="D2100" s="84" t="s">
        <v>3959</v>
      </c>
      <c r="E2100" s="84" t="s">
        <v>1640</v>
      </c>
      <c r="F2100" s="84" t="s">
        <v>1671</v>
      </c>
    </row>
    <row r="2101" spans="1:6" hidden="1" x14ac:dyDescent="0.25">
      <c r="A2101" s="85" t="s">
        <v>3960</v>
      </c>
      <c r="B2101" s="85" t="s">
        <v>3960</v>
      </c>
      <c r="C2101" s="84" t="s">
        <v>958</v>
      </c>
      <c r="D2101" s="84" t="s">
        <v>3961</v>
      </c>
      <c r="E2101" s="84" t="s">
        <v>1640</v>
      </c>
      <c r="F2101" s="84" t="s">
        <v>1671</v>
      </c>
    </row>
    <row r="2102" spans="1:6" hidden="1" x14ac:dyDescent="0.25">
      <c r="A2102" s="85" t="s">
        <v>1712</v>
      </c>
      <c r="B2102" s="85" t="s">
        <v>1712</v>
      </c>
      <c r="C2102" s="84" t="s">
        <v>958</v>
      </c>
      <c r="D2102" s="84" t="s">
        <v>3962</v>
      </c>
      <c r="E2102" s="84" t="s">
        <v>1640</v>
      </c>
      <c r="F2102" s="84" t="s">
        <v>1671</v>
      </c>
    </row>
    <row r="2103" spans="1:6" hidden="1" x14ac:dyDescent="0.25">
      <c r="A2103" s="85" t="s">
        <v>1711</v>
      </c>
      <c r="B2103" s="85" t="s">
        <v>1711</v>
      </c>
      <c r="C2103" s="84" t="s">
        <v>958</v>
      </c>
      <c r="D2103" s="84" t="s">
        <v>3963</v>
      </c>
      <c r="E2103" s="84" t="s">
        <v>1640</v>
      </c>
      <c r="F2103" s="84" t="s">
        <v>1671</v>
      </c>
    </row>
    <row r="2104" spans="1:6" hidden="1" x14ac:dyDescent="0.25">
      <c r="A2104" s="85" t="s">
        <v>3964</v>
      </c>
      <c r="B2104" s="85" t="s">
        <v>3964</v>
      </c>
      <c r="C2104" s="84" t="s">
        <v>958</v>
      </c>
      <c r="D2104" s="84" t="s">
        <v>3965</v>
      </c>
      <c r="E2104" s="84" t="s">
        <v>1640</v>
      </c>
      <c r="F2104" s="84" t="s">
        <v>1671</v>
      </c>
    </row>
    <row r="2105" spans="1:6" hidden="1" x14ac:dyDescent="0.25">
      <c r="A2105" s="85" t="s">
        <v>3966</v>
      </c>
      <c r="B2105" s="85" t="s">
        <v>3966</v>
      </c>
      <c r="C2105" s="84" t="s">
        <v>958</v>
      </c>
      <c r="D2105" s="84" t="s">
        <v>3967</v>
      </c>
      <c r="E2105" s="84" t="s">
        <v>1640</v>
      </c>
      <c r="F2105" s="84" t="s">
        <v>1671</v>
      </c>
    </row>
    <row r="2106" spans="1:6" hidden="1" x14ac:dyDescent="0.25">
      <c r="A2106" s="85" t="s">
        <v>3968</v>
      </c>
      <c r="B2106" s="85" t="s">
        <v>3968</v>
      </c>
      <c r="C2106" s="84" t="s">
        <v>958</v>
      </c>
      <c r="D2106" s="84" t="s">
        <v>3969</v>
      </c>
      <c r="E2106" s="84" t="s">
        <v>1640</v>
      </c>
      <c r="F2106" s="84" t="s">
        <v>1671</v>
      </c>
    </row>
    <row r="2107" spans="1:6" hidden="1" x14ac:dyDescent="0.25">
      <c r="A2107" s="85" t="s">
        <v>1669</v>
      </c>
      <c r="B2107" s="85" t="s">
        <v>1669</v>
      </c>
      <c r="C2107" s="84" t="s">
        <v>958</v>
      </c>
      <c r="D2107" s="84" t="s">
        <v>1670</v>
      </c>
      <c r="E2107" s="84" t="s">
        <v>1640</v>
      </c>
      <c r="F2107" s="84" t="s">
        <v>1671</v>
      </c>
    </row>
    <row r="2108" spans="1:6" hidden="1" x14ac:dyDescent="0.25">
      <c r="A2108" s="85" t="s">
        <v>3970</v>
      </c>
      <c r="B2108" s="85" t="s">
        <v>3970</v>
      </c>
      <c r="C2108" s="84" t="s">
        <v>958</v>
      </c>
      <c r="D2108" s="84" t="s">
        <v>3971</v>
      </c>
      <c r="E2108" s="84" t="s">
        <v>1640</v>
      </c>
      <c r="F2108" s="84" t="s">
        <v>1671</v>
      </c>
    </row>
    <row r="2109" spans="1:6" hidden="1" x14ac:dyDescent="0.25">
      <c r="A2109" s="85" t="s">
        <v>3972</v>
      </c>
      <c r="B2109" s="85" t="s">
        <v>3972</v>
      </c>
      <c r="C2109" s="84" t="s">
        <v>958</v>
      </c>
      <c r="D2109" s="84" t="s">
        <v>3973</v>
      </c>
      <c r="E2109" s="84" t="s">
        <v>1640</v>
      </c>
      <c r="F2109" s="84" t="s">
        <v>1671</v>
      </c>
    </row>
    <row r="2110" spans="1:6" x14ac:dyDescent="0.25">
      <c r="A2110" s="85" t="s">
        <v>3974</v>
      </c>
      <c r="B2110" s="85" t="s">
        <v>3974</v>
      </c>
      <c r="C2110" s="84" t="s">
        <v>958</v>
      </c>
      <c r="D2110" s="84" t="s">
        <v>3975</v>
      </c>
      <c r="E2110" s="84" t="s">
        <v>1640</v>
      </c>
      <c r="F2110" s="84" t="s">
        <v>1671</v>
      </c>
    </row>
    <row r="2111" spans="1:6" x14ac:dyDescent="0.25">
      <c r="A2111" s="85" t="s">
        <v>3976</v>
      </c>
      <c r="B2111" s="85" t="s">
        <v>3976</v>
      </c>
      <c r="C2111" s="84" t="s">
        <v>958</v>
      </c>
      <c r="D2111" s="84" t="s">
        <v>3977</v>
      </c>
      <c r="E2111" s="84" t="s">
        <v>1640</v>
      </c>
      <c r="F2111" s="84" t="s">
        <v>1671</v>
      </c>
    </row>
    <row r="2112" spans="1:6" x14ac:dyDescent="0.25">
      <c r="A2112" s="85" t="s">
        <v>3978</v>
      </c>
      <c r="B2112" s="85" t="s">
        <v>3978</v>
      </c>
      <c r="C2112" s="84" t="s">
        <v>958</v>
      </c>
      <c r="D2112" s="84" t="s">
        <v>3979</v>
      </c>
      <c r="E2112" s="84" t="s">
        <v>1640</v>
      </c>
      <c r="F2112" s="84" t="s">
        <v>1671</v>
      </c>
    </row>
    <row r="2113" spans="1:6" x14ac:dyDescent="0.25">
      <c r="A2113" s="85" t="s">
        <v>3980</v>
      </c>
      <c r="B2113" s="85" t="s">
        <v>3980</v>
      </c>
      <c r="C2113" s="84" t="s">
        <v>958</v>
      </c>
      <c r="D2113" s="84" t="s">
        <v>3981</v>
      </c>
      <c r="E2113" s="84" t="s">
        <v>1640</v>
      </c>
      <c r="F2113" s="84" t="s">
        <v>1671</v>
      </c>
    </row>
    <row r="2114" spans="1:6" hidden="1" x14ac:dyDescent="0.25">
      <c r="A2114" s="85" t="s">
        <v>3982</v>
      </c>
      <c r="B2114" s="85" t="s">
        <v>3982</v>
      </c>
      <c r="C2114" s="84" t="s">
        <v>922</v>
      </c>
      <c r="D2114" s="84" t="s">
        <v>3983</v>
      </c>
      <c r="E2114" s="84" t="s">
        <v>1640</v>
      </c>
      <c r="F2114" s="84" t="s">
        <v>1673</v>
      </c>
    </row>
    <row r="2115" spans="1:6" hidden="1" x14ac:dyDescent="0.25">
      <c r="A2115" s="85" t="s">
        <v>3984</v>
      </c>
      <c r="B2115" s="85" t="s">
        <v>3984</v>
      </c>
      <c r="C2115" s="84" t="s">
        <v>922</v>
      </c>
      <c r="D2115" s="84" t="s">
        <v>3985</v>
      </c>
      <c r="E2115" s="84" t="s">
        <v>1640</v>
      </c>
      <c r="F2115" s="84" t="s">
        <v>1673</v>
      </c>
    </row>
    <row r="2116" spans="1:6" hidden="1" x14ac:dyDescent="0.25">
      <c r="A2116" s="85" t="s">
        <v>3986</v>
      </c>
      <c r="B2116" s="85" t="s">
        <v>3986</v>
      </c>
      <c r="C2116" s="84" t="s">
        <v>922</v>
      </c>
      <c r="D2116" s="84" t="s">
        <v>3987</v>
      </c>
      <c r="E2116" s="84" t="s">
        <v>1640</v>
      </c>
      <c r="F2116" s="84" t="s">
        <v>1673</v>
      </c>
    </row>
    <row r="2117" spans="1:6" hidden="1" x14ac:dyDescent="0.25">
      <c r="A2117" s="85" t="s">
        <v>3988</v>
      </c>
      <c r="B2117" s="85" t="s">
        <v>3988</v>
      </c>
      <c r="C2117" s="84" t="s">
        <v>922</v>
      </c>
      <c r="D2117" s="84" t="s">
        <v>3989</v>
      </c>
      <c r="E2117" s="84" t="s">
        <v>1640</v>
      </c>
      <c r="F2117" s="84" t="s">
        <v>1673</v>
      </c>
    </row>
    <row r="2118" spans="1:6" hidden="1" x14ac:dyDescent="0.25">
      <c r="A2118" s="85" t="s">
        <v>3990</v>
      </c>
      <c r="B2118" s="85" t="s">
        <v>3990</v>
      </c>
      <c r="C2118" s="84" t="s">
        <v>922</v>
      </c>
      <c r="D2118" s="84" t="s">
        <v>3991</v>
      </c>
      <c r="E2118" s="84" t="s">
        <v>1640</v>
      </c>
      <c r="F2118" s="84" t="s">
        <v>1673</v>
      </c>
    </row>
    <row r="2119" spans="1:6" hidden="1" x14ac:dyDescent="0.25">
      <c r="A2119" s="85" t="s">
        <v>3992</v>
      </c>
      <c r="B2119" s="85" t="s">
        <v>3992</v>
      </c>
      <c r="C2119" s="84" t="s">
        <v>922</v>
      </c>
      <c r="D2119" s="84" t="s">
        <v>3993</v>
      </c>
      <c r="E2119" s="84" t="s">
        <v>1640</v>
      </c>
      <c r="F2119" s="84" t="s">
        <v>1673</v>
      </c>
    </row>
    <row r="2120" spans="1:6" hidden="1" x14ac:dyDescent="0.25">
      <c r="A2120" s="85" t="s">
        <v>3994</v>
      </c>
      <c r="B2120" s="85" t="s">
        <v>3994</v>
      </c>
      <c r="C2120" s="84" t="s">
        <v>922</v>
      </c>
      <c r="D2120" s="84" t="s">
        <v>3995</v>
      </c>
      <c r="E2120" s="84" t="s">
        <v>1640</v>
      </c>
      <c r="F2120" s="84" t="s">
        <v>1673</v>
      </c>
    </row>
    <row r="2121" spans="1:6" hidden="1" x14ac:dyDescent="0.25">
      <c r="A2121" s="85" t="s">
        <v>3996</v>
      </c>
      <c r="B2121" s="85" t="s">
        <v>3996</v>
      </c>
      <c r="C2121" s="84" t="s">
        <v>922</v>
      </c>
      <c r="D2121" s="84" t="s">
        <v>3997</v>
      </c>
      <c r="E2121" s="84" t="s">
        <v>1640</v>
      </c>
      <c r="F2121" s="84" t="s">
        <v>1673</v>
      </c>
    </row>
    <row r="2122" spans="1:6" hidden="1" x14ac:dyDescent="0.25">
      <c r="A2122" s="85" t="s">
        <v>165</v>
      </c>
      <c r="B2122" s="85" t="s">
        <v>3998</v>
      </c>
      <c r="C2122" s="84" t="s">
        <v>922</v>
      </c>
      <c r="D2122" s="84" t="s">
        <v>1672</v>
      </c>
      <c r="E2122" s="84" t="s">
        <v>1640</v>
      </c>
      <c r="F2122" s="84" t="s">
        <v>1673</v>
      </c>
    </row>
    <row r="2123" spans="1:6" hidden="1" x14ac:dyDescent="0.25">
      <c r="A2123" s="85" t="s">
        <v>166</v>
      </c>
      <c r="B2123" s="85" t="s">
        <v>3999</v>
      </c>
      <c r="C2123" s="84" t="s">
        <v>922</v>
      </c>
      <c r="D2123" s="84" t="s">
        <v>1674</v>
      </c>
      <c r="E2123" s="84" t="s">
        <v>1640</v>
      </c>
      <c r="F2123" s="84" t="s">
        <v>1673</v>
      </c>
    </row>
    <row r="2124" spans="1:6" hidden="1" x14ac:dyDescent="0.25">
      <c r="A2124" s="85" t="s">
        <v>4000</v>
      </c>
      <c r="B2124" s="85" t="s">
        <v>4001</v>
      </c>
      <c r="C2124" s="84" t="s">
        <v>922</v>
      </c>
      <c r="D2124" s="84" t="s">
        <v>4002</v>
      </c>
      <c r="E2124" s="84" t="s">
        <v>1640</v>
      </c>
      <c r="F2124" s="84" t="s">
        <v>1673</v>
      </c>
    </row>
    <row r="2125" spans="1:6" hidden="1" x14ac:dyDescent="0.25">
      <c r="A2125" s="85" t="s">
        <v>167</v>
      </c>
      <c r="B2125" s="85" t="s">
        <v>4003</v>
      </c>
      <c r="C2125" s="84" t="s">
        <v>922</v>
      </c>
      <c r="D2125" s="84" t="s">
        <v>1675</v>
      </c>
      <c r="E2125" s="84" t="s">
        <v>1640</v>
      </c>
      <c r="F2125" s="84" t="s">
        <v>1673</v>
      </c>
    </row>
    <row r="2126" spans="1:6" hidden="1" x14ac:dyDescent="0.25">
      <c r="A2126" s="85" t="s">
        <v>4004</v>
      </c>
      <c r="B2126" s="85" t="s">
        <v>4005</v>
      </c>
      <c r="C2126" s="84" t="s">
        <v>922</v>
      </c>
      <c r="D2126" s="84" t="s">
        <v>4006</v>
      </c>
      <c r="E2126" s="84" t="s">
        <v>1640</v>
      </c>
      <c r="F2126" s="84" t="s">
        <v>1673</v>
      </c>
    </row>
    <row r="2127" spans="1:6" hidden="1" x14ac:dyDescent="0.25">
      <c r="A2127" s="85" t="s">
        <v>168</v>
      </c>
      <c r="B2127" s="85" t="s">
        <v>4007</v>
      </c>
      <c r="C2127" s="84" t="s">
        <v>922</v>
      </c>
      <c r="D2127" s="84" t="s">
        <v>1676</v>
      </c>
      <c r="E2127" s="84" t="s">
        <v>1640</v>
      </c>
      <c r="F2127" s="84" t="s">
        <v>1673</v>
      </c>
    </row>
    <row r="2128" spans="1:6" hidden="1" x14ac:dyDescent="0.25">
      <c r="A2128" s="85" t="s">
        <v>169</v>
      </c>
      <c r="B2128" s="85" t="s">
        <v>4008</v>
      </c>
      <c r="C2128" s="84" t="s">
        <v>922</v>
      </c>
      <c r="D2128" s="84" t="s">
        <v>1677</v>
      </c>
      <c r="E2128" s="84" t="s">
        <v>1640</v>
      </c>
      <c r="F2128" s="84" t="s">
        <v>1673</v>
      </c>
    </row>
    <row r="2129" spans="1:6" hidden="1" x14ac:dyDescent="0.25">
      <c r="A2129" s="85" t="s">
        <v>4009</v>
      </c>
      <c r="B2129" s="85" t="s">
        <v>4010</v>
      </c>
      <c r="C2129" s="84" t="s">
        <v>922</v>
      </c>
      <c r="D2129" s="84" t="s">
        <v>4011</v>
      </c>
      <c r="E2129" s="84" t="s">
        <v>1640</v>
      </c>
      <c r="F2129" s="84" t="s">
        <v>1673</v>
      </c>
    </row>
    <row r="2130" spans="1:6" hidden="1" x14ac:dyDescent="0.25">
      <c r="A2130" s="85" t="s">
        <v>170</v>
      </c>
      <c r="B2130" s="85" t="s">
        <v>4012</v>
      </c>
      <c r="C2130" s="84" t="s">
        <v>922</v>
      </c>
      <c r="D2130" s="84" t="s">
        <v>1678</v>
      </c>
      <c r="E2130" s="84" t="s">
        <v>1640</v>
      </c>
      <c r="F2130" s="84" t="s">
        <v>1673</v>
      </c>
    </row>
    <row r="2131" spans="1:6" hidden="1" x14ac:dyDescent="0.25">
      <c r="A2131" s="85" t="s">
        <v>4013</v>
      </c>
      <c r="B2131" s="85" t="s">
        <v>4014</v>
      </c>
      <c r="C2131" s="84" t="s">
        <v>922</v>
      </c>
      <c r="D2131" s="84" t="s">
        <v>4015</v>
      </c>
      <c r="E2131" s="84" t="s">
        <v>1640</v>
      </c>
      <c r="F2131" s="84" t="s">
        <v>1673</v>
      </c>
    </row>
    <row r="2132" spans="1:6" hidden="1" x14ac:dyDescent="0.25">
      <c r="A2132" s="85" t="s">
        <v>171</v>
      </c>
      <c r="B2132" s="85" t="s">
        <v>4016</v>
      </c>
      <c r="C2132" s="84" t="s">
        <v>922</v>
      </c>
      <c r="D2132" s="84" t="s">
        <v>1679</v>
      </c>
      <c r="E2132" s="84" t="s">
        <v>1640</v>
      </c>
      <c r="F2132" s="84" t="s">
        <v>1673</v>
      </c>
    </row>
    <row r="2133" spans="1:6" hidden="1" x14ac:dyDescent="0.25">
      <c r="A2133" s="85" t="s">
        <v>175</v>
      </c>
      <c r="B2133" s="85" t="s">
        <v>4017</v>
      </c>
      <c r="C2133" s="84" t="s">
        <v>922</v>
      </c>
      <c r="D2133" s="84" t="s">
        <v>1680</v>
      </c>
      <c r="E2133" s="84" t="s">
        <v>1640</v>
      </c>
      <c r="F2133" s="84" t="s">
        <v>1673</v>
      </c>
    </row>
    <row r="2134" spans="1:6" hidden="1" x14ac:dyDescent="0.25">
      <c r="A2134" s="85" t="s">
        <v>176</v>
      </c>
      <c r="B2134" s="85" t="s">
        <v>4018</v>
      </c>
      <c r="C2134" s="84" t="s">
        <v>922</v>
      </c>
      <c r="D2134" s="84" t="s">
        <v>4019</v>
      </c>
      <c r="E2134" s="84" t="s">
        <v>1640</v>
      </c>
      <c r="F2134" s="84" t="s">
        <v>1673</v>
      </c>
    </row>
    <row r="2135" spans="1:6" hidden="1" x14ac:dyDescent="0.25">
      <c r="A2135" s="85" t="s">
        <v>177</v>
      </c>
      <c r="B2135" s="85" t="s">
        <v>4020</v>
      </c>
      <c r="C2135" s="84" t="s">
        <v>922</v>
      </c>
      <c r="D2135" s="84" t="s">
        <v>1681</v>
      </c>
      <c r="E2135" s="84" t="s">
        <v>1640</v>
      </c>
      <c r="F2135" s="84" t="s">
        <v>1673</v>
      </c>
    </row>
    <row r="2136" spans="1:6" hidden="1" x14ac:dyDescent="0.25">
      <c r="A2136" s="85" t="s">
        <v>178</v>
      </c>
      <c r="B2136" s="85" t="s">
        <v>4021</v>
      </c>
      <c r="C2136" s="84" t="s">
        <v>922</v>
      </c>
      <c r="D2136" s="84" t="s">
        <v>1682</v>
      </c>
      <c r="E2136" s="84" t="s">
        <v>1640</v>
      </c>
      <c r="F2136" s="84" t="s">
        <v>1673</v>
      </c>
    </row>
    <row r="2137" spans="1:6" hidden="1" x14ac:dyDescent="0.25">
      <c r="A2137" s="85" t="s">
        <v>179</v>
      </c>
      <c r="B2137" s="85" t="s">
        <v>4022</v>
      </c>
      <c r="C2137" s="84" t="s">
        <v>922</v>
      </c>
      <c r="D2137" s="84" t="s">
        <v>1683</v>
      </c>
      <c r="E2137" s="84" t="s">
        <v>1640</v>
      </c>
      <c r="F2137" s="84" t="s">
        <v>1673</v>
      </c>
    </row>
    <row r="2138" spans="1:6" hidden="1" x14ac:dyDescent="0.25">
      <c r="A2138" s="85" t="s">
        <v>180</v>
      </c>
      <c r="B2138" s="85" t="s">
        <v>4023</v>
      </c>
      <c r="C2138" s="84" t="s">
        <v>922</v>
      </c>
      <c r="D2138" s="84" t="s">
        <v>1684</v>
      </c>
      <c r="E2138" s="84" t="s">
        <v>1640</v>
      </c>
      <c r="F2138" s="84" t="s">
        <v>1673</v>
      </c>
    </row>
    <row r="2139" spans="1:6" hidden="1" x14ac:dyDescent="0.25">
      <c r="A2139" s="85" t="s">
        <v>181</v>
      </c>
      <c r="B2139" s="85" t="s">
        <v>4024</v>
      </c>
      <c r="C2139" s="84" t="s">
        <v>922</v>
      </c>
      <c r="D2139" s="84" t="s">
        <v>1685</v>
      </c>
      <c r="E2139" s="84" t="s">
        <v>1640</v>
      </c>
      <c r="F2139" s="84" t="s">
        <v>1673</v>
      </c>
    </row>
    <row r="2140" spans="1:6" hidden="1" x14ac:dyDescent="0.25">
      <c r="A2140" s="85" t="s">
        <v>182</v>
      </c>
      <c r="B2140" s="85" t="s">
        <v>4025</v>
      </c>
      <c r="C2140" s="84" t="s">
        <v>922</v>
      </c>
      <c r="D2140" s="84" t="s">
        <v>1686</v>
      </c>
      <c r="E2140" s="84" t="s">
        <v>1640</v>
      </c>
      <c r="F2140" s="84" t="s">
        <v>1673</v>
      </c>
    </row>
    <row r="2141" spans="1:6" hidden="1" x14ac:dyDescent="0.25">
      <c r="A2141" s="85" t="s">
        <v>183</v>
      </c>
      <c r="B2141" s="85" t="s">
        <v>4026</v>
      </c>
      <c r="C2141" s="84" t="s">
        <v>922</v>
      </c>
      <c r="D2141" s="84" t="s">
        <v>1687</v>
      </c>
      <c r="E2141" s="84" t="s">
        <v>1640</v>
      </c>
      <c r="F2141" s="84" t="s">
        <v>1673</v>
      </c>
    </row>
    <row r="2142" spans="1:6" hidden="1" x14ac:dyDescent="0.25">
      <c r="A2142" s="85" t="s">
        <v>4027</v>
      </c>
      <c r="B2142" s="85" t="s">
        <v>4027</v>
      </c>
      <c r="C2142" s="84" t="s">
        <v>922</v>
      </c>
      <c r="D2142" s="84" t="s">
        <v>1672</v>
      </c>
      <c r="E2142" s="84" t="s">
        <v>1640</v>
      </c>
      <c r="F2142" s="84" t="s">
        <v>1673</v>
      </c>
    </row>
    <row r="2143" spans="1:6" hidden="1" x14ac:dyDescent="0.25">
      <c r="A2143" s="85" t="s">
        <v>4028</v>
      </c>
      <c r="B2143" s="85" t="s">
        <v>4028</v>
      </c>
      <c r="C2143" s="84" t="s">
        <v>922</v>
      </c>
      <c r="D2143" s="84" t="s">
        <v>1674</v>
      </c>
      <c r="E2143" s="84" t="s">
        <v>1640</v>
      </c>
      <c r="F2143" s="84" t="s">
        <v>1673</v>
      </c>
    </row>
    <row r="2144" spans="1:6" hidden="1" x14ac:dyDescent="0.25">
      <c r="A2144" s="85" t="s">
        <v>4029</v>
      </c>
      <c r="B2144" s="85" t="s">
        <v>4029</v>
      </c>
      <c r="C2144" s="84" t="s">
        <v>922</v>
      </c>
      <c r="D2144" s="84" t="s">
        <v>1675</v>
      </c>
      <c r="E2144" s="84" t="s">
        <v>1640</v>
      </c>
      <c r="F2144" s="84" t="s">
        <v>1673</v>
      </c>
    </row>
    <row r="2145" spans="1:6" hidden="1" x14ac:dyDescent="0.25">
      <c r="A2145" s="85" t="s">
        <v>4030</v>
      </c>
      <c r="B2145" s="85" t="s">
        <v>4030</v>
      </c>
      <c r="C2145" s="84" t="s">
        <v>922</v>
      </c>
      <c r="D2145" s="84" t="s">
        <v>1676</v>
      </c>
      <c r="E2145" s="84" t="s">
        <v>1640</v>
      </c>
      <c r="F2145" s="84" t="s">
        <v>1673</v>
      </c>
    </row>
    <row r="2146" spans="1:6" hidden="1" x14ac:dyDescent="0.25">
      <c r="A2146" s="85" t="s">
        <v>4031</v>
      </c>
      <c r="B2146" s="85" t="s">
        <v>4031</v>
      </c>
      <c r="C2146" s="84" t="s">
        <v>922</v>
      </c>
      <c r="D2146" s="84" t="s">
        <v>1677</v>
      </c>
      <c r="E2146" s="84" t="s">
        <v>1640</v>
      </c>
      <c r="F2146" s="84" t="s">
        <v>1673</v>
      </c>
    </row>
    <row r="2147" spans="1:6" hidden="1" x14ac:dyDescent="0.25">
      <c r="A2147" s="85" t="s">
        <v>4032</v>
      </c>
      <c r="B2147" s="85" t="s">
        <v>4032</v>
      </c>
      <c r="C2147" s="84" t="s">
        <v>922</v>
      </c>
      <c r="D2147" s="84" t="s">
        <v>1678</v>
      </c>
      <c r="E2147" s="84" t="s">
        <v>1640</v>
      </c>
      <c r="F2147" s="84" t="s">
        <v>1673</v>
      </c>
    </row>
    <row r="2148" spans="1:6" hidden="1" x14ac:dyDescent="0.25">
      <c r="A2148" s="85" t="s">
        <v>4033</v>
      </c>
      <c r="B2148" s="85" t="s">
        <v>4033</v>
      </c>
      <c r="C2148" s="84" t="s">
        <v>922</v>
      </c>
      <c r="D2148" s="84" t="s">
        <v>1679</v>
      </c>
      <c r="E2148" s="84" t="s">
        <v>1640</v>
      </c>
      <c r="F2148" s="84" t="s">
        <v>1673</v>
      </c>
    </row>
    <row r="2149" spans="1:6" hidden="1" x14ac:dyDescent="0.25">
      <c r="A2149" s="85" t="s">
        <v>4034</v>
      </c>
      <c r="B2149" s="85" t="s">
        <v>4034</v>
      </c>
      <c r="C2149" s="84" t="s">
        <v>922</v>
      </c>
      <c r="D2149" s="84" t="s">
        <v>1680</v>
      </c>
      <c r="E2149" s="84" t="s">
        <v>1640</v>
      </c>
      <c r="F2149" s="84" t="s">
        <v>1673</v>
      </c>
    </row>
    <row r="2150" spans="1:6" hidden="1" x14ac:dyDescent="0.25">
      <c r="A2150" s="85" t="s">
        <v>4035</v>
      </c>
      <c r="B2150" s="85" t="s">
        <v>4035</v>
      </c>
      <c r="C2150" s="84" t="s">
        <v>922</v>
      </c>
      <c r="D2150" s="84" t="s">
        <v>4019</v>
      </c>
      <c r="E2150" s="84" t="s">
        <v>1640</v>
      </c>
      <c r="F2150" s="84" t="s">
        <v>1673</v>
      </c>
    </row>
    <row r="2151" spans="1:6" hidden="1" x14ac:dyDescent="0.25">
      <c r="A2151" s="85" t="s">
        <v>4036</v>
      </c>
      <c r="B2151" s="85" t="s">
        <v>4036</v>
      </c>
      <c r="C2151" s="84" t="s">
        <v>922</v>
      </c>
      <c r="D2151" s="84" t="s">
        <v>1681</v>
      </c>
      <c r="E2151" s="84" t="s">
        <v>1640</v>
      </c>
      <c r="F2151" s="84" t="s">
        <v>1673</v>
      </c>
    </row>
    <row r="2152" spans="1:6" hidden="1" x14ac:dyDescent="0.25">
      <c r="A2152" s="85" t="s">
        <v>4037</v>
      </c>
      <c r="B2152" s="85" t="s">
        <v>4037</v>
      </c>
      <c r="C2152" s="84" t="s">
        <v>922</v>
      </c>
      <c r="D2152" s="84" t="s">
        <v>1682</v>
      </c>
      <c r="E2152" s="84" t="s">
        <v>1640</v>
      </c>
      <c r="F2152" s="84" t="s">
        <v>1673</v>
      </c>
    </row>
    <row r="2153" spans="1:6" hidden="1" x14ac:dyDescent="0.25">
      <c r="A2153" s="85" t="s">
        <v>4038</v>
      </c>
      <c r="B2153" s="85" t="s">
        <v>4038</v>
      </c>
      <c r="C2153" s="84" t="s">
        <v>922</v>
      </c>
      <c r="D2153" s="84" t="s">
        <v>1683</v>
      </c>
      <c r="E2153" s="84" t="s">
        <v>1640</v>
      </c>
      <c r="F2153" s="84" t="s">
        <v>1673</v>
      </c>
    </row>
    <row r="2154" spans="1:6" hidden="1" x14ac:dyDescent="0.25">
      <c r="A2154" s="85" t="s">
        <v>4039</v>
      </c>
      <c r="B2154" s="85" t="s">
        <v>4039</v>
      </c>
      <c r="C2154" s="84" t="s">
        <v>922</v>
      </c>
      <c r="D2154" s="84" t="s">
        <v>1684</v>
      </c>
      <c r="E2154" s="84" t="s">
        <v>1640</v>
      </c>
      <c r="F2154" s="84" t="s">
        <v>1673</v>
      </c>
    </row>
    <row r="2155" spans="1:6" hidden="1" x14ac:dyDescent="0.25">
      <c r="A2155" s="85" t="s">
        <v>4040</v>
      </c>
      <c r="B2155" s="85" t="s">
        <v>4040</v>
      </c>
      <c r="C2155" s="84" t="s">
        <v>922</v>
      </c>
      <c r="D2155" s="84" t="s">
        <v>1685</v>
      </c>
      <c r="E2155" s="84" t="s">
        <v>1640</v>
      </c>
      <c r="F2155" s="84" t="s">
        <v>1673</v>
      </c>
    </row>
    <row r="2156" spans="1:6" hidden="1" x14ac:dyDescent="0.25">
      <c r="A2156" s="85" t="s">
        <v>4041</v>
      </c>
      <c r="B2156" s="85" t="s">
        <v>4041</v>
      </c>
      <c r="C2156" s="84" t="s">
        <v>922</v>
      </c>
      <c r="D2156" s="84" t="s">
        <v>1686</v>
      </c>
      <c r="E2156" s="84" t="s">
        <v>1640</v>
      </c>
      <c r="F2156" s="84" t="s">
        <v>1673</v>
      </c>
    </row>
    <row r="2157" spans="1:6" hidden="1" x14ac:dyDescent="0.25">
      <c r="A2157" s="85" t="s">
        <v>4042</v>
      </c>
      <c r="B2157" s="85" t="s">
        <v>4042</v>
      </c>
      <c r="C2157" s="84" t="s">
        <v>922</v>
      </c>
      <c r="D2157" s="84" t="s">
        <v>1687</v>
      </c>
      <c r="E2157" s="84" t="s">
        <v>1640</v>
      </c>
      <c r="F2157" s="84" t="s">
        <v>1673</v>
      </c>
    </row>
    <row r="2158" spans="1:6" hidden="1" x14ac:dyDescent="0.25">
      <c r="A2158" s="85">
        <v>92650</v>
      </c>
      <c r="B2158" s="85">
        <v>92650</v>
      </c>
      <c r="C2158" s="84" t="s">
        <v>2888</v>
      </c>
      <c r="D2158" s="84" t="s">
        <v>4043</v>
      </c>
      <c r="E2158" s="84" t="s">
        <v>1640</v>
      </c>
      <c r="F2158" s="84" t="s">
        <v>1673</v>
      </c>
    </row>
    <row r="2159" spans="1:6" hidden="1" x14ac:dyDescent="0.25">
      <c r="A2159" s="85" t="s">
        <v>25</v>
      </c>
      <c r="B2159" s="85" t="s">
        <v>25</v>
      </c>
      <c r="C2159" s="84" t="s">
        <v>958</v>
      </c>
      <c r="D2159" s="84" t="s">
        <v>644</v>
      </c>
      <c r="E2159" s="84" t="s">
        <v>1640</v>
      </c>
      <c r="F2159" s="84" t="s">
        <v>1673</v>
      </c>
    </row>
    <row r="2160" spans="1:6" hidden="1" x14ac:dyDescent="0.25">
      <c r="A2160" s="85" t="s">
        <v>4044</v>
      </c>
      <c r="B2160" s="85" t="s">
        <v>4044</v>
      </c>
      <c r="C2160" s="84" t="s">
        <v>958</v>
      </c>
      <c r="D2160" s="84" t="s">
        <v>4045</v>
      </c>
      <c r="E2160" s="84" t="s">
        <v>1640</v>
      </c>
      <c r="F2160" s="84" t="s">
        <v>1673</v>
      </c>
    </row>
    <row r="2161" spans="1:6" hidden="1" x14ac:dyDescent="0.25">
      <c r="A2161" s="85" t="s">
        <v>27</v>
      </c>
      <c r="B2161" s="85" t="s">
        <v>27</v>
      </c>
      <c r="C2161" s="84" t="s">
        <v>958</v>
      </c>
      <c r="D2161" s="84" t="s">
        <v>645</v>
      </c>
      <c r="E2161" s="84" t="s">
        <v>1640</v>
      </c>
      <c r="F2161" s="84" t="s">
        <v>1673</v>
      </c>
    </row>
    <row r="2162" spans="1:6" hidden="1" x14ac:dyDescent="0.25">
      <c r="A2162" s="85" t="s">
        <v>779</v>
      </c>
      <c r="B2162" s="85" t="s">
        <v>779</v>
      </c>
      <c r="C2162" s="84" t="s">
        <v>958</v>
      </c>
      <c r="D2162" s="84" t="s">
        <v>780</v>
      </c>
      <c r="E2162" s="84" t="s">
        <v>1640</v>
      </c>
      <c r="F2162" s="84" t="s">
        <v>1673</v>
      </c>
    </row>
    <row r="2163" spans="1:6" hidden="1" x14ac:dyDescent="0.25">
      <c r="A2163" s="85" t="s">
        <v>4046</v>
      </c>
      <c r="B2163" s="85" t="s">
        <v>4046</v>
      </c>
      <c r="C2163" s="84" t="s">
        <v>958</v>
      </c>
      <c r="D2163" s="84" t="s">
        <v>4047</v>
      </c>
      <c r="E2163" s="84" t="s">
        <v>1640</v>
      </c>
      <c r="F2163" s="84" t="s">
        <v>1673</v>
      </c>
    </row>
    <row r="2164" spans="1:6" hidden="1" x14ac:dyDescent="0.25">
      <c r="A2164" s="85" t="s">
        <v>4048</v>
      </c>
      <c r="B2164" s="85" t="s">
        <v>4048</v>
      </c>
      <c r="C2164" s="84" t="s">
        <v>958</v>
      </c>
      <c r="D2164" s="84" t="s">
        <v>4049</v>
      </c>
      <c r="E2164" s="84" t="s">
        <v>1640</v>
      </c>
      <c r="F2164" s="84" t="s">
        <v>1673</v>
      </c>
    </row>
    <row r="2165" spans="1:6" hidden="1" x14ac:dyDescent="0.25">
      <c r="A2165" s="85" t="s">
        <v>28</v>
      </c>
      <c r="B2165" s="85" t="s">
        <v>28</v>
      </c>
      <c r="C2165" s="84" t="s">
        <v>958</v>
      </c>
      <c r="D2165" s="84" t="s">
        <v>646</v>
      </c>
      <c r="E2165" s="84" t="s">
        <v>1640</v>
      </c>
      <c r="F2165" s="84" t="s">
        <v>1673</v>
      </c>
    </row>
    <row r="2166" spans="1:6" hidden="1" x14ac:dyDescent="0.25">
      <c r="A2166" s="85" t="s">
        <v>781</v>
      </c>
      <c r="B2166" s="85" t="s">
        <v>781</v>
      </c>
      <c r="C2166" s="84" t="s">
        <v>958</v>
      </c>
      <c r="D2166" s="84" t="s">
        <v>782</v>
      </c>
      <c r="E2166" s="84" t="s">
        <v>1640</v>
      </c>
      <c r="F2166" s="84" t="s">
        <v>1673</v>
      </c>
    </row>
    <row r="2167" spans="1:6" hidden="1" x14ac:dyDescent="0.25">
      <c r="A2167" s="85" t="s">
        <v>4050</v>
      </c>
      <c r="B2167" s="85" t="s">
        <v>4050</v>
      </c>
      <c r="C2167" s="84" t="s">
        <v>958</v>
      </c>
      <c r="D2167" s="84" t="s">
        <v>4051</v>
      </c>
      <c r="E2167" s="84" t="s">
        <v>1640</v>
      </c>
      <c r="F2167" s="84" t="s">
        <v>1673</v>
      </c>
    </row>
    <row r="2168" spans="1:6" hidden="1" x14ac:dyDescent="0.25">
      <c r="A2168" s="85" t="s">
        <v>4052</v>
      </c>
      <c r="B2168" s="85" t="s">
        <v>4052</v>
      </c>
      <c r="C2168" s="84" t="s">
        <v>958</v>
      </c>
      <c r="D2168" s="84" t="s">
        <v>4053</v>
      </c>
      <c r="E2168" s="84" t="s">
        <v>1640</v>
      </c>
      <c r="F2168" s="84" t="s">
        <v>1673</v>
      </c>
    </row>
    <row r="2169" spans="1:6" hidden="1" x14ac:dyDescent="0.25">
      <c r="A2169" s="85" t="s">
        <v>29</v>
      </c>
      <c r="B2169" s="85" t="s">
        <v>29</v>
      </c>
      <c r="C2169" s="84" t="s">
        <v>958</v>
      </c>
      <c r="D2169" s="84" t="s">
        <v>647</v>
      </c>
      <c r="E2169" s="84" t="s">
        <v>1640</v>
      </c>
      <c r="F2169" s="84" t="s">
        <v>1673</v>
      </c>
    </row>
    <row r="2170" spans="1:6" hidden="1" x14ac:dyDescent="0.25">
      <c r="A2170" s="85" t="s">
        <v>783</v>
      </c>
      <c r="B2170" s="85" t="s">
        <v>783</v>
      </c>
      <c r="C2170" s="84" t="s">
        <v>958</v>
      </c>
      <c r="D2170" s="84" t="s">
        <v>784</v>
      </c>
      <c r="E2170" s="84" t="s">
        <v>1640</v>
      </c>
      <c r="F2170" s="84" t="s">
        <v>1673</v>
      </c>
    </row>
    <row r="2171" spans="1:6" hidden="1" x14ac:dyDescent="0.25">
      <c r="A2171" s="85" t="s">
        <v>4054</v>
      </c>
      <c r="B2171" s="85" t="s">
        <v>4054</v>
      </c>
      <c r="C2171" s="84" t="s">
        <v>958</v>
      </c>
      <c r="D2171" s="84" t="s">
        <v>4055</v>
      </c>
      <c r="E2171" s="84" t="s">
        <v>1640</v>
      </c>
      <c r="F2171" s="84" t="s">
        <v>1673</v>
      </c>
    </row>
    <row r="2172" spans="1:6" hidden="1" x14ac:dyDescent="0.25">
      <c r="A2172" s="85" t="s">
        <v>4056</v>
      </c>
      <c r="B2172" s="85" t="s">
        <v>4056</v>
      </c>
      <c r="C2172" s="84" t="s">
        <v>958</v>
      </c>
      <c r="D2172" s="84" t="s">
        <v>4057</v>
      </c>
      <c r="E2172" s="84" t="s">
        <v>1640</v>
      </c>
      <c r="F2172" s="84" t="s">
        <v>1673</v>
      </c>
    </row>
    <row r="2173" spans="1:6" hidden="1" x14ac:dyDescent="0.25">
      <c r="A2173" s="85" t="s">
        <v>30</v>
      </c>
      <c r="B2173" s="85" t="s">
        <v>30</v>
      </c>
      <c r="C2173" s="84" t="s">
        <v>958</v>
      </c>
      <c r="D2173" s="84" t="s">
        <v>648</v>
      </c>
      <c r="E2173" s="84" t="s">
        <v>1640</v>
      </c>
      <c r="F2173" s="84" t="s">
        <v>1673</v>
      </c>
    </row>
    <row r="2174" spans="1:6" hidden="1" x14ac:dyDescent="0.25">
      <c r="A2174" s="85" t="s">
        <v>785</v>
      </c>
      <c r="B2174" s="85" t="s">
        <v>785</v>
      </c>
      <c r="C2174" s="84" t="s">
        <v>958</v>
      </c>
      <c r="D2174" s="84" t="s">
        <v>786</v>
      </c>
      <c r="E2174" s="84" t="s">
        <v>1640</v>
      </c>
      <c r="F2174" s="84" t="s">
        <v>1673</v>
      </c>
    </row>
    <row r="2175" spans="1:6" hidden="1" x14ac:dyDescent="0.25">
      <c r="A2175" s="85" t="s">
        <v>4058</v>
      </c>
      <c r="B2175" s="85" t="s">
        <v>4058</v>
      </c>
      <c r="C2175" s="84" t="s">
        <v>958</v>
      </c>
      <c r="D2175" s="84" t="s">
        <v>4059</v>
      </c>
      <c r="E2175" s="84" t="s">
        <v>1640</v>
      </c>
      <c r="F2175" s="84" t="s">
        <v>1673</v>
      </c>
    </row>
    <row r="2176" spans="1:6" hidden="1" x14ac:dyDescent="0.25">
      <c r="A2176" s="85" t="s">
        <v>4060</v>
      </c>
      <c r="B2176" s="85" t="s">
        <v>4060</v>
      </c>
      <c r="C2176" s="84" t="s">
        <v>958</v>
      </c>
      <c r="D2176" s="84" t="s">
        <v>4061</v>
      </c>
      <c r="E2176" s="84" t="s">
        <v>1640</v>
      </c>
      <c r="F2176" s="84" t="s">
        <v>1673</v>
      </c>
    </row>
    <row r="2177" spans="1:6" hidden="1" x14ac:dyDescent="0.25">
      <c r="A2177" s="85" t="s">
        <v>31</v>
      </c>
      <c r="B2177" s="85" t="s">
        <v>31</v>
      </c>
      <c r="C2177" s="84" t="s">
        <v>958</v>
      </c>
      <c r="D2177" s="84" t="s">
        <v>649</v>
      </c>
      <c r="E2177" s="84" t="s">
        <v>1640</v>
      </c>
      <c r="F2177" s="84" t="s">
        <v>1673</v>
      </c>
    </row>
    <row r="2178" spans="1:6" hidden="1" x14ac:dyDescent="0.25">
      <c r="A2178" s="85" t="s">
        <v>787</v>
      </c>
      <c r="B2178" s="85" t="s">
        <v>787</v>
      </c>
      <c r="C2178" s="84" t="s">
        <v>958</v>
      </c>
      <c r="D2178" s="84" t="s">
        <v>1688</v>
      </c>
      <c r="E2178" s="84" t="s">
        <v>1640</v>
      </c>
      <c r="F2178" s="84" t="s">
        <v>1673</v>
      </c>
    </row>
    <row r="2179" spans="1:6" hidden="1" x14ac:dyDescent="0.25">
      <c r="A2179" s="85" t="s">
        <v>4062</v>
      </c>
      <c r="B2179" s="85" t="s">
        <v>4062</v>
      </c>
      <c r="C2179" s="84" t="s">
        <v>958</v>
      </c>
      <c r="D2179" s="84" t="s">
        <v>4063</v>
      </c>
      <c r="E2179" s="84" t="s">
        <v>1640</v>
      </c>
      <c r="F2179" s="84" t="s">
        <v>1673</v>
      </c>
    </row>
    <row r="2180" spans="1:6" hidden="1" x14ac:dyDescent="0.25">
      <c r="A2180" s="85" t="s">
        <v>4064</v>
      </c>
      <c r="B2180" s="85" t="s">
        <v>4064</v>
      </c>
      <c r="C2180" s="84" t="s">
        <v>958</v>
      </c>
      <c r="D2180" s="84" t="s">
        <v>4065</v>
      </c>
      <c r="E2180" s="84" t="s">
        <v>1640</v>
      </c>
      <c r="F2180" s="84" t="s">
        <v>1673</v>
      </c>
    </row>
    <row r="2181" spans="1:6" hidden="1" x14ac:dyDescent="0.25">
      <c r="A2181" s="85" t="s">
        <v>32</v>
      </c>
      <c r="B2181" s="85" t="s">
        <v>32</v>
      </c>
      <c r="C2181" s="84" t="s">
        <v>958</v>
      </c>
      <c r="D2181" s="84" t="s">
        <v>650</v>
      </c>
      <c r="E2181" s="84" t="s">
        <v>1640</v>
      </c>
      <c r="F2181" s="84" t="s">
        <v>1673</v>
      </c>
    </row>
    <row r="2182" spans="1:6" hidden="1" x14ac:dyDescent="0.25">
      <c r="A2182" s="85" t="s">
        <v>4066</v>
      </c>
      <c r="B2182" s="85" t="s">
        <v>4066</v>
      </c>
      <c r="C2182" s="84" t="s">
        <v>958</v>
      </c>
      <c r="D2182" s="84" t="s">
        <v>4067</v>
      </c>
      <c r="E2182" s="84" t="s">
        <v>1640</v>
      </c>
      <c r="F2182" s="84" t="s">
        <v>1673</v>
      </c>
    </row>
    <row r="2183" spans="1:6" hidden="1" x14ac:dyDescent="0.25">
      <c r="A2183" s="85" t="s">
        <v>36</v>
      </c>
      <c r="B2183" s="85" t="s">
        <v>36</v>
      </c>
      <c r="C2183" s="84" t="s">
        <v>958</v>
      </c>
      <c r="D2183" s="84" t="s">
        <v>654</v>
      </c>
      <c r="E2183" s="84" t="s">
        <v>1640</v>
      </c>
      <c r="F2183" s="84" t="s">
        <v>1673</v>
      </c>
    </row>
    <row r="2184" spans="1:6" hidden="1" x14ac:dyDescent="0.25">
      <c r="A2184" s="85" t="s">
        <v>4068</v>
      </c>
      <c r="B2184" s="85" t="s">
        <v>4068</v>
      </c>
      <c r="C2184" s="84" t="s">
        <v>958</v>
      </c>
      <c r="D2184" s="84" t="s">
        <v>4069</v>
      </c>
      <c r="E2184" s="84" t="s">
        <v>1640</v>
      </c>
      <c r="F2184" s="84" t="s">
        <v>1673</v>
      </c>
    </row>
    <row r="2185" spans="1:6" hidden="1" x14ac:dyDescent="0.25">
      <c r="A2185" s="85" t="s">
        <v>37</v>
      </c>
      <c r="B2185" s="85" t="s">
        <v>37</v>
      </c>
      <c r="C2185" s="84" t="s">
        <v>958</v>
      </c>
      <c r="D2185" s="84" t="s">
        <v>655</v>
      </c>
      <c r="E2185" s="84" t="s">
        <v>1640</v>
      </c>
      <c r="F2185" s="84" t="s">
        <v>1673</v>
      </c>
    </row>
    <row r="2186" spans="1:6" hidden="1" x14ac:dyDescent="0.25">
      <c r="A2186" s="85" t="s">
        <v>38</v>
      </c>
      <c r="B2186" s="85" t="s">
        <v>38</v>
      </c>
      <c r="C2186" s="84" t="s">
        <v>958</v>
      </c>
      <c r="D2186" s="84" t="s">
        <v>656</v>
      </c>
      <c r="E2186" s="84" t="s">
        <v>1640</v>
      </c>
      <c r="F2186" s="84" t="s">
        <v>1673</v>
      </c>
    </row>
    <row r="2187" spans="1:6" hidden="1" x14ac:dyDescent="0.25">
      <c r="A2187" s="85" t="s">
        <v>801</v>
      </c>
      <c r="B2187" s="85" t="s">
        <v>801</v>
      </c>
      <c r="C2187" s="84" t="s">
        <v>958</v>
      </c>
      <c r="D2187" s="84" t="s">
        <v>1689</v>
      </c>
      <c r="E2187" s="84" t="s">
        <v>1640</v>
      </c>
      <c r="F2187" s="84" t="s">
        <v>1673</v>
      </c>
    </row>
    <row r="2188" spans="1:6" hidden="1" x14ac:dyDescent="0.25">
      <c r="A2188" s="85" t="s">
        <v>39</v>
      </c>
      <c r="B2188" s="85" t="s">
        <v>39</v>
      </c>
      <c r="C2188" s="84" t="s">
        <v>958</v>
      </c>
      <c r="D2188" s="84" t="s">
        <v>657</v>
      </c>
      <c r="E2188" s="84" t="s">
        <v>1640</v>
      </c>
      <c r="F2188" s="84" t="s">
        <v>1673</v>
      </c>
    </row>
    <row r="2189" spans="1:6" hidden="1" x14ac:dyDescent="0.25">
      <c r="A2189" s="85" t="s">
        <v>803</v>
      </c>
      <c r="B2189" s="85" t="s">
        <v>803</v>
      </c>
      <c r="C2189" s="84" t="s">
        <v>958</v>
      </c>
      <c r="D2189" s="84" t="s">
        <v>1690</v>
      </c>
      <c r="E2189" s="84" t="s">
        <v>1640</v>
      </c>
      <c r="F2189" s="84" t="s">
        <v>1673</v>
      </c>
    </row>
    <row r="2190" spans="1:6" hidden="1" x14ac:dyDescent="0.25">
      <c r="A2190" s="85" t="s">
        <v>40</v>
      </c>
      <c r="B2190" s="85" t="s">
        <v>40</v>
      </c>
      <c r="C2190" s="84" t="s">
        <v>958</v>
      </c>
      <c r="D2190" s="84" t="s">
        <v>658</v>
      </c>
      <c r="E2190" s="84" t="s">
        <v>1640</v>
      </c>
      <c r="F2190" s="84" t="s">
        <v>1673</v>
      </c>
    </row>
    <row r="2191" spans="1:6" hidden="1" x14ac:dyDescent="0.25">
      <c r="A2191" s="85" t="s">
        <v>805</v>
      </c>
      <c r="B2191" s="85" t="s">
        <v>805</v>
      </c>
      <c r="C2191" s="84" t="s">
        <v>958</v>
      </c>
      <c r="D2191" s="84" t="s">
        <v>1691</v>
      </c>
      <c r="E2191" s="84" t="s">
        <v>1640</v>
      </c>
      <c r="F2191" s="84" t="s">
        <v>1673</v>
      </c>
    </row>
    <row r="2192" spans="1:6" hidden="1" x14ac:dyDescent="0.25">
      <c r="A2192" s="85" t="s">
        <v>41</v>
      </c>
      <c r="B2192" s="85" t="s">
        <v>41</v>
      </c>
      <c r="C2192" s="84" t="s">
        <v>958</v>
      </c>
      <c r="D2192" s="84" t="s">
        <v>659</v>
      </c>
      <c r="E2192" s="84" t="s">
        <v>1640</v>
      </c>
      <c r="F2192" s="84" t="s">
        <v>1673</v>
      </c>
    </row>
    <row r="2193" spans="1:6" hidden="1" x14ac:dyDescent="0.25">
      <c r="A2193" s="85" t="s">
        <v>807</v>
      </c>
      <c r="B2193" s="85" t="s">
        <v>807</v>
      </c>
      <c r="C2193" s="84" t="s">
        <v>958</v>
      </c>
      <c r="D2193" s="84" t="s">
        <v>1692</v>
      </c>
      <c r="E2193" s="84" t="s">
        <v>1640</v>
      </c>
      <c r="F2193" s="84" t="s">
        <v>1673</v>
      </c>
    </row>
    <row r="2194" spans="1:6" hidden="1" x14ac:dyDescent="0.25">
      <c r="A2194" s="85" t="s">
        <v>42</v>
      </c>
      <c r="B2194" s="85" t="s">
        <v>42</v>
      </c>
      <c r="C2194" s="84" t="s">
        <v>958</v>
      </c>
      <c r="D2194" s="84" t="s">
        <v>660</v>
      </c>
      <c r="E2194" s="84" t="s">
        <v>1640</v>
      </c>
      <c r="F2194" s="84" t="s">
        <v>1673</v>
      </c>
    </row>
    <row r="2195" spans="1:6" hidden="1" x14ac:dyDescent="0.25">
      <c r="A2195" s="85" t="s">
        <v>809</v>
      </c>
      <c r="B2195" s="85" t="s">
        <v>809</v>
      </c>
      <c r="C2195" s="84" t="s">
        <v>958</v>
      </c>
      <c r="D2195" s="84" t="s">
        <v>1693</v>
      </c>
      <c r="E2195" s="84" t="s">
        <v>1640</v>
      </c>
      <c r="F2195" s="84" t="s">
        <v>1673</v>
      </c>
    </row>
    <row r="2196" spans="1:6" hidden="1" x14ac:dyDescent="0.25">
      <c r="A2196" s="85" t="s">
        <v>43</v>
      </c>
      <c r="B2196" s="85" t="s">
        <v>43</v>
      </c>
      <c r="C2196" s="84" t="s">
        <v>958</v>
      </c>
      <c r="D2196" s="84" t="s">
        <v>661</v>
      </c>
      <c r="E2196" s="84" t="s">
        <v>1640</v>
      </c>
      <c r="F2196" s="84" t="s">
        <v>1673</v>
      </c>
    </row>
    <row r="2197" spans="1:6" hidden="1" x14ac:dyDescent="0.25">
      <c r="A2197" s="85" t="s">
        <v>44</v>
      </c>
      <c r="B2197" s="85" t="s">
        <v>44</v>
      </c>
      <c r="C2197" s="84" t="s">
        <v>958</v>
      </c>
      <c r="D2197" s="84" t="s">
        <v>662</v>
      </c>
      <c r="E2197" s="84" t="s">
        <v>1640</v>
      </c>
      <c r="F2197" s="84" t="s">
        <v>1673</v>
      </c>
    </row>
    <row r="2198" spans="1:6" hidden="1" x14ac:dyDescent="0.25">
      <c r="A2198" s="85" t="s">
        <v>4070</v>
      </c>
      <c r="B2198" s="85" t="s">
        <v>4070</v>
      </c>
      <c r="C2198" s="84" t="s">
        <v>958</v>
      </c>
      <c r="D2198" s="84" t="s">
        <v>4071</v>
      </c>
      <c r="E2198" s="84" t="s">
        <v>1640</v>
      </c>
      <c r="F2198" s="84" t="s">
        <v>1366</v>
      </c>
    </row>
    <row r="2199" spans="1:6" hidden="1" x14ac:dyDescent="0.25">
      <c r="A2199" s="85" t="s">
        <v>4072</v>
      </c>
      <c r="B2199" s="85" t="s">
        <v>4072</v>
      </c>
      <c r="C2199" s="84" t="s">
        <v>958</v>
      </c>
      <c r="D2199" s="84" t="s">
        <v>4073</v>
      </c>
      <c r="E2199" s="84" t="s">
        <v>1640</v>
      </c>
      <c r="F2199" s="84" t="s">
        <v>1366</v>
      </c>
    </row>
    <row r="2200" spans="1:6" hidden="1" x14ac:dyDescent="0.25">
      <c r="A2200" s="85" t="s">
        <v>4074</v>
      </c>
      <c r="B2200" s="85" t="s">
        <v>4074</v>
      </c>
      <c r="C2200" s="84" t="s">
        <v>922</v>
      </c>
      <c r="D2200" s="84" t="s">
        <v>4075</v>
      </c>
      <c r="E2200" s="84" t="s">
        <v>1696</v>
      </c>
      <c r="F2200" s="84" t="s">
        <v>4392</v>
      </c>
    </row>
    <row r="2201" spans="1:6" hidden="1" x14ac:dyDescent="0.25">
      <c r="A2201" s="85" t="s">
        <v>4076</v>
      </c>
      <c r="B2201" s="85" t="s">
        <v>4076</v>
      </c>
      <c r="C2201" s="84" t="s">
        <v>922</v>
      </c>
      <c r="D2201" s="84" t="s">
        <v>4077</v>
      </c>
      <c r="E2201" s="84" t="s">
        <v>1696</v>
      </c>
      <c r="F2201" s="84" t="s">
        <v>4392</v>
      </c>
    </row>
    <row r="2202" spans="1:6" hidden="1" x14ac:dyDescent="0.25">
      <c r="A2202" s="85" t="s">
        <v>540</v>
      </c>
      <c r="B2202" s="85" t="s">
        <v>540</v>
      </c>
      <c r="C2202" s="84" t="s">
        <v>922</v>
      </c>
      <c r="D2202" s="84" t="s">
        <v>4078</v>
      </c>
      <c r="E2202" s="84" t="s">
        <v>1696</v>
      </c>
      <c r="F2202" s="84" t="s">
        <v>4392</v>
      </c>
    </row>
    <row r="2203" spans="1:6" hidden="1" x14ac:dyDescent="0.25">
      <c r="A2203" s="85" t="s">
        <v>542</v>
      </c>
      <c r="B2203" s="85" t="s">
        <v>542</v>
      </c>
      <c r="C2203" s="84" t="s">
        <v>922</v>
      </c>
      <c r="D2203" s="84" t="s">
        <v>4079</v>
      </c>
      <c r="E2203" s="84" t="s">
        <v>1696</v>
      </c>
      <c r="F2203" s="84" t="s">
        <v>4392</v>
      </c>
    </row>
    <row r="2204" spans="1:6" hidden="1" x14ac:dyDescent="0.25">
      <c r="A2204" s="85" t="s">
        <v>4080</v>
      </c>
      <c r="B2204" s="85" t="s">
        <v>4080</v>
      </c>
      <c r="C2204" s="84" t="s">
        <v>958</v>
      </c>
      <c r="D2204" s="84" t="s">
        <v>4081</v>
      </c>
      <c r="E2204" s="84" t="s">
        <v>1696</v>
      </c>
      <c r="F2204" s="84" t="s">
        <v>4392</v>
      </c>
    </row>
    <row r="2205" spans="1:6" hidden="1" x14ac:dyDescent="0.25">
      <c r="A2205" s="85" t="s">
        <v>4082</v>
      </c>
      <c r="B2205" s="85" t="s">
        <v>4082</v>
      </c>
      <c r="C2205" s="84" t="s">
        <v>958</v>
      </c>
      <c r="D2205" s="84" t="s">
        <v>4083</v>
      </c>
      <c r="E2205" s="84" t="s">
        <v>1696</v>
      </c>
      <c r="F2205" s="84" t="s">
        <v>4392</v>
      </c>
    </row>
    <row r="2206" spans="1:6" hidden="1" x14ac:dyDescent="0.25">
      <c r="A2206" s="85" t="s">
        <v>544</v>
      </c>
      <c r="B2206" s="85" t="s">
        <v>544</v>
      </c>
      <c r="C2206" s="84" t="s">
        <v>958</v>
      </c>
      <c r="D2206" s="84" t="s">
        <v>545</v>
      </c>
      <c r="E2206" s="84" t="s">
        <v>1696</v>
      </c>
      <c r="F2206" s="84" t="s">
        <v>4392</v>
      </c>
    </row>
    <row r="2207" spans="1:6" hidden="1" x14ac:dyDescent="0.25">
      <c r="A2207" s="85" t="s">
        <v>546</v>
      </c>
      <c r="B2207" s="85" t="s">
        <v>546</v>
      </c>
      <c r="C2207" s="84" t="s">
        <v>958</v>
      </c>
      <c r="D2207" s="84" t="s">
        <v>547</v>
      </c>
      <c r="E2207" s="84" t="s">
        <v>1696</v>
      </c>
      <c r="F2207" s="84" t="s">
        <v>4392</v>
      </c>
    </row>
    <row r="2208" spans="1:6" hidden="1" x14ac:dyDescent="0.25">
      <c r="A2208" s="85" t="s">
        <v>4084</v>
      </c>
      <c r="B2208" s="85" t="s">
        <v>4084</v>
      </c>
      <c r="C2208" s="84" t="s">
        <v>958</v>
      </c>
      <c r="D2208" s="84" t="s">
        <v>4085</v>
      </c>
      <c r="E2208" s="84" t="s">
        <v>1696</v>
      </c>
      <c r="F2208" s="84" t="s">
        <v>4086</v>
      </c>
    </row>
    <row r="2209" spans="1:6" hidden="1" x14ac:dyDescent="0.25">
      <c r="A2209" s="85" t="s">
        <v>4087</v>
      </c>
      <c r="B2209" s="85" t="s">
        <v>4088</v>
      </c>
      <c r="C2209" s="84" t="s">
        <v>958</v>
      </c>
      <c r="D2209" s="84" t="s">
        <v>4089</v>
      </c>
      <c r="E2209" s="84" t="s">
        <v>1696</v>
      </c>
      <c r="F2209" s="84" t="s">
        <v>4086</v>
      </c>
    </row>
    <row r="2210" spans="1:6" hidden="1" x14ac:dyDescent="0.25">
      <c r="A2210" s="85" t="s">
        <v>4090</v>
      </c>
      <c r="B2210" s="85" t="s">
        <v>4090</v>
      </c>
      <c r="C2210" s="84" t="s">
        <v>958</v>
      </c>
      <c r="D2210" s="84" t="s">
        <v>4091</v>
      </c>
      <c r="E2210" s="84" t="s">
        <v>1696</v>
      </c>
      <c r="F2210" s="84" t="s">
        <v>4086</v>
      </c>
    </row>
    <row r="2211" spans="1:6" hidden="1" x14ac:dyDescent="0.25">
      <c r="A2211" s="85" t="s">
        <v>4092</v>
      </c>
      <c r="B2211" s="85" t="s">
        <v>4092</v>
      </c>
      <c r="C2211" s="84" t="s">
        <v>958</v>
      </c>
      <c r="D2211" s="84" t="s">
        <v>4093</v>
      </c>
      <c r="E2211" s="84" t="s">
        <v>1696</v>
      </c>
      <c r="F2211" s="84" t="s">
        <v>4086</v>
      </c>
    </row>
    <row r="2212" spans="1:6" hidden="1" x14ac:dyDescent="0.25">
      <c r="A2212" s="85" t="s">
        <v>4094</v>
      </c>
      <c r="B2212" s="85" t="s">
        <v>4094</v>
      </c>
      <c r="C2212" s="84" t="s">
        <v>958</v>
      </c>
      <c r="D2212" s="84" t="s">
        <v>4095</v>
      </c>
      <c r="E2212" s="84" t="s">
        <v>1696</v>
      </c>
      <c r="F2212" s="84" t="s">
        <v>4086</v>
      </c>
    </row>
    <row r="2213" spans="1:6" hidden="1" x14ac:dyDescent="0.25">
      <c r="A2213" s="85" t="s">
        <v>552</v>
      </c>
      <c r="B2213" s="85" t="s">
        <v>552</v>
      </c>
      <c r="C2213" s="84" t="s">
        <v>958</v>
      </c>
      <c r="D2213" s="84" t="s">
        <v>553</v>
      </c>
      <c r="E2213" s="84" t="s">
        <v>1696</v>
      </c>
      <c r="F2213" s="84" t="s">
        <v>4086</v>
      </c>
    </row>
    <row r="2214" spans="1:6" hidden="1" x14ac:dyDescent="0.25">
      <c r="A2214" s="85" t="s">
        <v>4096</v>
      </c>
      <c r="B2214" s="85" t="s">
        <v>4096</v>
      </c>
      <c r="C2214" s="84" t="s">
        <v>958</v>
      </c>
      <c r="D2214" s="84" t="s">
        <v>4097</v>
      </c>
      <c r="E2214" s="84" t="s">
        <v>1696</v>
      </c>
      <c r="F2214" s="84" t="s">
        <v>4086</v>
      </c>
    </row>
    <row r="2215" spans="1:6" hidden="1" x14ac:dyDescent="0.25">
      <c r="A2215" s="85" t="s">
        <v>4098</v>
      </c>
      <c r="B2215" s="85" t="s">
        <v>4098</v>
      </c>
      <c r="C2215" s="84" t="s">
        <v>958</v>
      </c>
      <c r="D2215" s="84" t="s">
        <v>4099</v>
      </c>
      <c r="E2215" s="84" t="s">
        <v>1696</v>
      </c>
      <c r="F2215" s="84" t="s">
        <v>4086</v>
      </c>
    </row>
    <row r="2216" spans="1:6" hidden="1" x14ac:dyDescent="0.25">
      <c r="A2216" s="85" t="s">
        <v>4100</v>
      </c>
      <c r="B2216" s="85" t="s">
        <v>4100</v>
      </c>
      <c r="C2216" s="84" t="s">
        <v>958</v>
      </c>
      <c r="D2216" s="84" t="s">
        <v>4101</v>
      </c>
      <c r="E2216" s="84" t="s">
        <v>1696</v>
      </c>
      <c r="F2216" s="84" t="s">
        <v>4086</v>
      </c>
    </row>
    <row r="2217" spans="1:6" hidden="1" x14ac:dyDescent="0.25">
      <c r="A2217" s="85" t="s">
        <v>4102</v>
      </c>
      <c r="B2217" s="85" t="s">
        <v>4102</v>
      </c>
      <c r="C2217" s="84" t="s">
        <v>958</v>
      </c>
      <c r="D2217" s="84" t="s">
        <v>4103</v>
      </c>
      <c r="E2217" s="84" t="s">
        <v>1696</v>
      </c>
      <c r="F2217" s="84" t="s">
        <v>4086</v>
      </c>
    </row>
    <row r="2218" spans="1:6" hidden="1" x14ac:dyDescent="0.25">
      <c r="A2218" s="85" t="s">
        <v>4104</v>
      </c>
      <c r="B2218" s="85" t="s">
        <v>4104</v>
      </c>
      <c r="C2218" s="84" t="s">
        <v>958</v>
      </c>
      <c r="D2218" s="84" t="s">
        <v>4105</v>
      </c>
      <c r="E2218" s="84" t="s">
        <v>1696</v>
      </c>
      <c r="F2218" s="84" t="s">
        <v>4086</v>
      </c>
    </row>
    <row r="2219" spans="1:6" hidden="1" x14ac:dyDescent="0.25">
      <c r="A2219" s="85" t="s">
        <v>4106</v>
      </c>
      <c r="B2219" s="85" t="s">
        <v>4106</v>
      </c>
      <c r="C2219" s="84" t="s">
        <v>958</v>
      </c>
      <c r="D2219" s="84" t="s">
        <v>4107</v>
      </c>
      <c r="E2219" s="84" t="s">
        <v>1696</v>
      </c>
      <c r="F2219" s="84" t="s">
        <v>4086</v>
      </c>
    </row>
    <row r="2220" spans="1:6" hidden="1" x14ac:dyDescent="0.25">
      <c r="A2220" s="85" t="s">
        <v>4108</v>
      </c>
      <c r="B2220" s="85" t="s">
        <v>4108</v>
      </c>
      <c r="C2220" s="84" t="s">
        <v>958</v>
      </c>
      <c r="D2220" s="84" t="s">
        <v>4109</v>
      </c>
      <c r="E2220" s="84" t="s">
        <v>1696</v>
      </c>
      <c r="F2220" s="84" t="s">
        <v>4086</v>
      </c>
    </row>
    <row r="2221" spans="1:6" hidden="1" x14ac:dyDescent="0.25">
      <c r="A2221" s="85" t="s">
        <v>4110</v>
      </c>
      <c r="B2221" s="85" t="s">
        <v>4110</v>
      </c>
      <c r="C2221" s="84" t="s">
        <v>958</v>
      </c>
      <c r="D2221" s="84" t="s">
        <v>4111</v>
      </c>
      <c r="E2221" s="84" t="s">
        <v>1696</v>
      </c>
      <c r="F2221" s="84" t="s">
        <v>4086</v>
      </c>
    </row>
    <row r="2222" spans="1:6" hidden="1" x14ac:dyDescent="0.25">
      <c r="A2222" s="85" t="s">
        <v>4112</v>
      </c>
      <c r="B2222" s="85" t="s">
        <v>4112</v>
      </c>
      <c r="C2222" s="84" t="s">
        <v>958</v>
      </c>
      <c r="D2222" s="84" t="s">
        <v>4113</v>
      </c>
      <c r="E2222" s="84" t="s">
        <v>1696</v>
      </c>
      <c r="F2222" s="84" t="s">
        <v>4086</v>
      </c>
    </row>
    <row r="2223" spans="1:6" hidden="1" x14ac:dyDescent="0.25">
      <c r="A2223" s="85" t="s">
        <v>4114</v>
      </c>
      <c r="B2223" s="85" t="s">
        <v>4114</v>
      </c>
      <c r="C2223" s="84" t="s">
        <v>958</v>
      </c>
      <c r="D2223" s="84" t="s">
        <v>4115</v>
      </c>
      <c r="E2223" s="84" t="s">
        <v>1696</v>
      </c>
      <c r="F2223" s="84" t="s">
        <v>4086</v>
      </c>
    </row>
    <row r="2224" spans="1:6" hidden="1" x14ac:dyDescent="0.25">
      <c r="A2224" s="85" t="s">
        <v>520</v>
      </c>
      <c r="B2224" s="85" t="s">
        <v>520</v>
      </c>
      <c r="C2224" s="84" t="s">
        <v>958</v>
      </c>
      <c r="D2224" s="84" t="s">
        <v>521</v>
      </c>
      <c r="E2224" s="84" t="s">
        <v>1696</v>
      </c>
      <c r="F2224" s="84" t="s">
        <v>4086</v>
      </c>
    </row>
    <row r="2225" spans="1:6" hidden="1" x14ac:dyDescent="0.25">
      <c r="A2225" s="85" t="s">
        <v>522</v>
      </c>
      <c r="B2225" s="85" t="s">
        <v>522</v>
      </c>
      <c r="C2225" s="84" t="s">
        <v>958</v>
      </c>
      <c r="D2225" s="84" t="s">
        <v>523</v>
      </c>
      <c r="E2225" s="84" t="s">
        <v>1696</v>
      </c>
      <c r="F2225" s="84" t="s">
        <v>4086</v>
      </c>
    </row>
    <row r="2226" spans="1:6" hidden="1" x14ac:dyDescent="0.25">
      <c r="A2226" s="85" t="s">
        <v>524</v>
      </c>
      <c r="B2226" s="85" t="s">
        <v>524</v>
      </c>
      <c r="C2226" s="84" t="s">
        <v>958</v>
      </c>
      <c r="D2226" s="84" t="s">
        <v>525</v>
      </c>
      <c r="E2226" s="84" t="s">
        <v>1696</v>
      </c>
      <c r="F2226" s="84" t="s">
        <v>4086</v>
      </c>
    </row>
    <row r="2227" spans="1:6" hidden="1" x14ac:dyDescent="0.25">
      <c r="A2227" s="85" t="s">
        <v>526</v>
      </c>
      <c r="B2227" s="85" t="s">
        <v>526</v>
      </c>
      <c r="C2227" s="84" t="s">
        <v>958</v>
      </c>
      <c r="D2227" s="84" t="s">
        <v>527</v>
      </c>
      <c r="E2227" s="84" t="s">
        <v>1696</v>
      </c>
      <c r="F2227" s="84" t="s">
        <v>4086</v>
      </c>
    </row>
    <row r="2228" spans="1:6" hidden="1" x14ac:dyDescent="0.25">
      <c r="A2228" s="85" t="s">
        <v>528</v>
      </c>
      <c r="B2228" s="85" t="s">
        <v>528</v>
      </c>
      <c r="C2228" s="84" t="s">
        <v>958</v>
      </c>
      <c r="D2228" s="84" t="s">
        <v>529</v>
      </c>
      <c r="E2228" s="84" t="s">
        <v>1696</v>
      </c>
      <c r="F2228" s="84" t="s">
        <v>4086</v>
      </c>
    </row>
    <row r="2229" spans="1:6" hidden="1" x14ac:dyDescent="0.25">
      <c r="A2229" s="85" t="s">
        <v>530</v>
      </c>
      <c r="B2229" s="85" t="s">
        <v>530</v>
      </c>
      <c r="C2229" s="84" t="s">
        <v>958</v>
      </c>
      <c r="D2229" s="84" t="s">
        <v>531</v>
      </c>
      <c r="E2229" s="84" t="s">
        <v>1696</v>
      </c>
      <c r="F2229" s="84" t="s">
        <v>4086</v>
      </c>
    </row>
    <row r="2230" spans="1:6" hidden="1" x14ac:dyDescent="0.25">
      <c r="A2230" s="85" t="s">
        <v>532</v>
      </c>
      <c r="B2230" s="85" t="s">
        <v>532</v>
      </c>
      <c r="C2230" s="84" t="s">
        <v>958</v>
      </c>
      <c r="D2230" s="84" t="s">
        <v>533</v>
      </c>
      <c r="E2230" s="84" t="s">
        <v>1696</v>
      </c>
      <c r="F2230" s="84" t="s">
        <v>4086</v>
      </c>
    </row>
    <row r="2231" spans="1:6" hidden="1" x14ac:dyDescent="0.25">
      <c r="A2231" s="85" t="s">
        <v>534</v>
      </c>
      <c r="B2231" s="85" t="s">
        <v>534</v>
      </c>
      <c r="C2231" s="84" t="s">
        <v>958</v>
      </c>
      <c r="D2231" s="84" t="s">
        <v>535</v>
      </c>
      <c r="E2231" s="84" t="s">
        <v>1696</v>
      </c>
      <c r="F2231" s="84" t="s">
        <v>4086</v>
      </c>
    </row>
    <row r="2232" spans="1:6" hidden="1" x14ac:dyDescent="0.25">
      <c r="A2232" s="85" t="s">
        <v>536</v>
      </c>
      <c r="B2232" s="85" t="s">
        <v>536</v>
      </c>
      <c r="C2232" s="84" t="s">
        <v>958</v>
      </c>
      <c r="D2232" s="84" t="s">
        <v>537</v>
      </c>
      <c r="E2232" s="84" t="s">
        <v>1696</v>
      </c>
      <c r="F2232" s="84" t="s">
        <v>4086</v>
      </c>
    </row>
    <row r="2233" spans="1:6" hidden="1" x14ac:dyDescent="0.25">
      <c r="A2233" s="85" t="s">
        <v>538</v>
      </c>
      <c r="B2233" s="85" t="s">
        <v>538</v>
      </c>
      <c r="C2233" s="84" t="s">
        <v>958</v>
      </c>
      <c r="D2233" s="84" t="s">
        <v>539</v>
      </c>
      <c r="E2233" s="84" t="s">
        <v>1696</v>
      </c>
      <c r="F2233" s="84" t="s">
        <v>4086</v>
      </c>
    </row>
    <row r="2234" spans="1:6" hidden="1" x14ac:dyDescent="0.25">
      <c r="A2234" s="85" t="s">
        <v>4116</v>
      </c>
      <c r="B2234" s="85" t="s">
        <v>4116</v>
      </c>
      <c r="C2234" s="84" t="s">
        <v>958</v>
      </c>
      <c r="D2234" s="84" t="s">
        <v>4117</v>
      </c>
      <c r="E2234" s="84" t="s">
        <v>1696</v>
      </c>
      <c r="F2234" s="84" t="s">
        <v>4086</v>
      </c>
    </row>
    <row r="2235" spans="1:6" hidden="1" x14ac:dyDescent="0.25">
      <c r="A2235" s="85" t="s">
        <v>4118</v>
      </c>
      <c r="B2235" s="85" t="s">
        <v>4118</v>
      </c>
      <c r="C2235" s="84" t="s">
        <v>958</v>
      </c>
      <c r="D2235" s="84" t="s">
        <v>4119</v>
      </c>
      <c r="E2235" s="84" t="s">
        <v>1696</v>
      </c>
      <c r="F2235" s="84" t="s">
        <v>4086</v>
      </c>
    </row>
    <row r="2236" spans="1:6" hidden="1" x14ac:dyDescent="0.25">
      <c r="A2236" s="85" t="s">
        <v>4120</v>
      </c>
      <c r="B2236" s="85" t="s">
        <v>4120</v>
      </c>
      <c r="C2236" s="84" t="s">
        <v>958</v>
      </c>
      <c r="D2236" s="84" t="s">
        <v>4121</v>
      </c>
      <c r="E2236" s="84" t="s">
        <v>1696</v>
      </c>
      <c r="F2236" s="84" t="s">
        <v>4086</v>
      </c>
    </row>
    <row r="2237" spans="1:6" hidden="1" x14ac:dyDescent="0.25">
      <c r="A2237" s="85" t="s">
        <v>4122</v>
      </c>
      <c r="B2237" s="85" t="s">
        <v>4122</v>
      </c>
      <c r="C2237" s="84" t="s">
        <v>958</v>
      </c>
      <c r="D2237" s="84" t="s">
        <v>4123</v>
      </c>
      <c r="E2237" s="84" t="s">
        <v>1696</v>
      </c>
      <c r="F2237" s="84" t="s">
        <v>4086</v>
      </c>
    </row>
    <row r="2238" spans="1:6" hidden="1" x14ac:dyDescent="0.25">
      <c r="A2238" s="85" t="s">
        <v>4124</v>
      </c>
      <c r="B2238" s="85" t="s">
        <v>4124</v>
      </c>
      <c r="C2238" s="84" t="s">
        <v>958</v>
      </c>
      <c r="D2238" s="84" t="s">
        <v>4125</v>
      </c>
      <c r="E2238" s="84" t="s">
        <v>1696</v>
      </c>
      <c r="F2238" s="84" t="s">
        <v>4086</v>
      </c>
    </row>
    <row r="2239" spans="1:6" hidden="1" x14ac:dyDescent="0.25">
      <c r="A2239" s="85" t="s">
        <v>4126</v>
      </c>
      <c r="B2239" s="85" t="s">
        <v>4126</v>
      </c>
      <c r="C2239" s="84" t="s">
        <v>958</v>
      </c>
      <c r="D2239" s="84" t="s">
        <v>4127</v>
      </c>
      <c r="E2239" s="84" t="s">
        <v>1696</v>
      </c>
      <c r="F2239" s="84" t="s">
        <v>4086</v>
      </c>
    </row>
    <row r="2240" spans="1:6" hidden="1" x14ac:dyDescent="0.25">
      <c r="A2240" s="85" t="s">
        <v>4128</v>
      </c>
      <c r="B2240" s="85" t="s">
        <v>4128</v>
      </c>
      <c r="C2240" s="84" t="s">
        <v>958</v>
      </c>
      <c r="D2240" s="84" t="s">
        <v>4129</v>
      </c>
      <c r="E2240" s="84" t="s">
        <v>1696</v>
      </c>
      <c r="F2240" s="84" t="s">
        <v>4086</v>
      </c>
    </row>
    <row r="2241" spans="1:6" hidden="1" x14ac:dyDescent="0.25">
      <c r="A2241" s="85" t="s">
        <v>4130</v>
      </c>
      <c r="B2241" s="85" t="s">
        <v>4130</v>
      </c>
      <c r="C2241" s="84" t="s">
        <v>958</v>
      </c>
      <c r="D2241" s="84" t="s">
        <v>4131</v>
      </c>
      <c r="E2241" s="84" t="s">
        <v>1696</v>
      </c>
      <c r="F2241" s="84" t="s">
        <v>4086</v>
      </c>
    </row>
    <row r="2242" spans="1:6" hidden="1" x14ac:dyDescent="0.25">
      <c r="A2242" s="85" t="s">
        <v>4132</v>
      </c>
      <c r="B2242" s="85" t="s">
        <v>4132</v>
      </c>
      <c r="C2242" s="84" t="s">
        <v>922</v>
      </c>
      <c r="D2242" s="84" t="s">
        <v>4133</v>
      </c>
      <c r="E2242" s="84" t="s">
        <v>1696</v>
      </c>
      <c r="F2242" s="84" t="s">
        <v>1697</v>
      </c>
    </row>
    <row r="2243" spans="1:6" hidden="1" x14ac:dyDescent="0.25">
      <c r="A2243" s="85" t="s">
        <v>1694</v>
      </c>
      <c r="B2243" s="85" t="s">
        <v>1694</v>
      </c>
      <c r="C2243" s="84" t="s">
        <v>922</v>
      </c>
      <c r="D2243" s="84" t="s">
        <v>1695</v>
      </c>
      <c r="E2243" s="84" t="s">
        <v>1696</v>
      </c>
      <c r="F2243" s="84" t="s">
        <v>1697</v>
      </c>
    </row>
    <row r="2244" spans="1:6" hidden="1" x14ac:dyDescent="0.25">
      <c r="A2244" s="85" t="s">
        <v>4134</v>
      </c>
      <c r="B2244" s="85" t="s">
        <v>4134</v>
      </c>
      <c r="C2244" s="84" t="s">
        <v>922</v>
      </c>
      <c r="D2244" s="84" t="s">
        <v>4135</v>
      </c>
      <c r="E2244" s="84" t="s">
        <v>1696</v>
      </c>
      <c r="F2244" s="84" t="s">
        <v>1697</v>
      </c>
    </row>
    <row r="2245" spans="1:6" hidden="1" x14ac:dyDescent="0.25">
      <c r="A2245" s="85" t="s">
        <v>4136</v>
      </c>
      <c r="B2245" s="85" t="s">
        <v>4136</v>
      </c>
      <c r="C2245" s="84" t="s">
        <v>922</v>
      </c>
      <c r="D2245" s="84" t="s">
        <v>4137</v>
      </c>
      <c r="E2245" s="84" t="s">
        <v>1696</v>
      </c>
      <c r="F2245" s="84" t="s">
        <v>1697</v>
      </c>
    </row>
    <row r="2246" spans="1:6" hidden="1" x14ac:dyDescent="0.25">
      <c r="A2246" s="85" t="s">
        <v>4138</v>
      </c>
      <c r="B2246" s="85" t="s">
        <v>4138</v>
      </c>
      <c r="C2246" s="84" t="s">
        <v>922</v>
      </c>
      <c r="D2246" s="84" t="s">
        <v>4139</v>
      </c>
      <c r="E2246" s="84" t="s">
        <v>1696</v>
      </c>
      <c r="F2246" s="84" t="s">
        <v>1697</v>
      </c>
    </row>
    <row r="2247" spans="1:6" hidden="1" x14ac:dyDescent="0.25">
      <c r="A2247" s="85" t="s">
        <v>4140</v>
      </c>
      <c r="B2247" s="85" t="s">
        <v>4141</v>
      </c>
      <c r="C2247" s="84" t="s">
        <v>922</v>
      </c>
      <c r="D2247" s="84" t="s">
        <v>4142</v>
      </c>
      <c r="E2247" s="84" t="s">
        <v>1696</v>
      </c>
      <c r="F2247" s="84" t="s">
        <v>1697</v>
      </c>
    </row>
    <row r="2248" spans="1:6" hidden="1" x14ac:dyDescent="0.25">
      <c r="A2248" s="85" t="s">
        <v>4143</v>
      </c>
      <c r="B2248" s="85" t="s">
        <v>4144</v>
      </c>
      <c r="C2248" s="84" t="s">
        <v>922</v>
      </c>
      <c r="D2248" s="84" t="s">
        <v>4145</v>
      </c>
      <c r="E2248" s="84" t="s">
        <v>1696</v>
      </c>
      <c r="F2248" s="84" t="s">
        <v>1697</v>
      </c>
    </row>
    <row r="2249" spans="1:6" hidden="1" x14ac:dyDescent="0.25">
      <c r="A2249" s="85" t="s">
        <v>1698</v>
      </c>
      <c r="B2249" s="85" t="s">
        <v>1698</v>
      </c>
      <c r="C2249" s="84" t="s">
        <v>958</v>
      </c>
      <c r="D2249" s="84" t="s">
        <v>1699</v>
      </c>
      <c r="E2249" s="84" t="s">
        <v>1696</v>
      </c>
      <c r="F2249" s="84" t="s">
        <v>1697</v>
      </c>
    </row>
    <row r="2250" spans="1:6" hidden="1" x14ac:dyDescent="0.25">
      <c r="A2250" s="85" t="s">
        <v>1700</v>
      </c>
      <c r="B2250" s="85" t="s">
        <v>1700</v>
      </c>
      <c r="C2250" s="84" t="s">
        <v>958</v>
      </c>
      <c r="D2250" s="84" t="s">
        <v>1701</v>
      </c>
      <c r="E2250" s="84" t="s">
        <v>1696</v>
      </c>
      <c r="F2250" s="84" t="s">
        <v>1697</v>
      </c>
    </row>
    <row r="2251" spans="1:6" hidden="1" x14ac:dyDescent="0.25">
      <c r="A2251" s="85" t="s">
        <v>1702</v>
      </c>
      <c r="B2251" s="85" t="s">
        <v>1702</v>
      </c>
      <c r="C2251" s="84" t="s">
        <v>958</v>
      </c>
      <c r="D2251" s="84" t="s">
        <v>1703</v>
      </c>
      <c r="E2251" s="84" t="s">
        <v>1696</v>
      </c>
      <c r="F2251" s="84" t="s">
        <v>1697</v>
      </c>
    </row>
    <row r="2252" spans="1:6" hidden="1" x14ac:dyDescent="0.25">
      <c r="A2252" s="85" t="s">
        <v>4146</v>
      </c>
      <c r="B2252" s="85" t="s">
        <v>4146</v>
      </c>
      <c r="C2252" s="84" t="s">
        <v>958</v>
      </c>
      <c r="D2252" s="84" t="s">
        <v>4147</v>
      </c>
      <c r="E2252" s="84" t="s">
        <v>1696</v>
      </c>
      <c r="F2252" s="84" t="s">
        <v>1697</v>
      </c>
    </row>
    <row r="2253" spans="1:6" hidden="1" x14ac:dyDescent="0.25">
      <c r="A2253" s="85" t="s">
        <v>4148</v>
      </c>
      <c r="B2253" s="85" t="s">
        <v>4148</v>
      </c>
      <c r="C2253" s="84" t="s">
        <v>958</v>
      </c>
      <c r="D2253" s="84" t="s">
        <v>4149</v>
      </c>
      <c r="E2253" s="84" t="s">
        <v>1696</v>
      </c>
      <c r="F2253" s="84" t="s">
        <v>1697</v>
      </c>
    </row>
    <row r="2254" spans="1:6" hidden="1" x14ac:dyDescent="0.25">
      <c r="A2254" s="85" t="s">
        <v>4150</v>
      </c>
      <c r="B2254" s="85" t="s">
        <v>4150</v>
      </c>
      <c r="C2254" s="84" t="s">
        <v>958</v>
      </c>
      <c r="D2254" s="84" t="s">
        <v>4151</v>
      </c>
      <c r="E2254" s="84" t="s">
        <v>1696</v>
      </c>
      <c r="F2254" s="84" t="s">
        <v>1697</v>
      </c>
    </row>
    <row r="2255" spans="1:6" hidden="1" x14ac:dyDescent="0.25">
      <c r="A2255" s="85" t="s">
        <v>4152</v>
      </c>
      <c r="B2255" s="85" t="s">
        <v>4152</v>
      </c>
      <c r="C2255" s="84" t="s">
        <v>958</v>
      </c>
      <c r="D2255" s="84" t="s">
        <v>4153</v>
      </c>
      <c r="E2255" s="84" t="s">
        <v>1696</v>
      </c>
      <c r="F2255" s="84" t="s">
        <v>1697</v>
      </c>
    </row>
    <row r="2256" spans="1:6" hidden="1" x14ac:dyDescent="0.25">
      <c r="A2256" s="85" t="s">
        <v>4154</v>
      </c>
      <c r="B2256" s="85" t="s">
        <v>4154</v>
      </c>
      <c r="C2256" s="84" t="s">
        <v>958</v>
      </c>
      <c r="D2256" s="84" t="s">
        <v>4155</v>
      </c>
      <c r="E2256" s="84" t="s">
        <v>1696</v>
      </c>
      <c r="F2256" s="84" t="s">
        <v>1697</v>
      </c>
    </row>
    <row r="2257" spans="1:6" hidden="1" x14ac:dyDescent="0.25">
      <c r="A2257" s="85" t="s">
        <v>548</v>
      </c>
      <c r="B2257" s="85" t="s">
        <v>548</v>
      </c>
      <c r="C2257" s="84" t="s">
        <v>958</v>
      </c>
      <c r="D2257" s="84" t="s">
        <v>549</v>
      </c>
      <c r="E2257" s="84" t="s">
        <v>1696</v>
      </c>
      <c r="F2257" s="84" t="s">
        <v>1697</v>
      </c>
    </row>
    <row r="2258" spans="1:6" hidden="1" x14ac:dyDescent="0.25">
      <c r="A2258" s="85" t="s">
        <v>550</v>
      </c>
      <c r="B2258" s="85" t="s">
        <v>550</v>
      </c>
      <c r="C2258" s="84" t="s">
        <v>958</v>
      </c>
      <c r="D2258" s="84" t="s">
        <v>551</v>
      </c>
      <c r="E2258" s="84" t="s">
        <v>1696</v>
      </c>
      <c r="F2258" s="84" t="s">
        <v>1697</v>
      </c>
    </row>
    <row r="2259" spans="1:6" hidden="1" x14ac:dyDescent="0.25">
      <c r="A2259" s="85" t="s">
        <v>4156</v>
      </c>
      <c r="B2259" s="85" t="s">
        <v>4156</v>
      </c>
      <c r="C2259" s="84" t="s">
        <v>958</v>
      </c>
      <c r="D2259" s="84" t="s">
        <v>4157</v>
      </c>
      <c r="E2259" s="84" t="s">
        <v>1696</v>
      </c>
      <c r="F2259" s="84" t="s">
        <v>1697</v>
      </c>
    </row>
    <row r="2260" spans="1:6" hidden="1" x14ac:dyDescent="0.25">
      <c r="A2260" s="85" t="s">
        <v>4158</v>
      </c>
      <c r="B2260" s="85" t="s">
        <v>4158</v>
      </c>
      <c r="C2260" s="84" t="s">
        <v>958</v>
      </c>
      <c r="D2260" s="84" t="s">
        <v>4159</v>
      </c>
      <c r="E2260" s="84" t="s">
        <v>1696</v>
      </c>
      <c r="F2260" s="84" t="s">
        <v>1697</v>
      </c>
    </row>
    <row r="2261" spans="1:6" hidden="1" x14ac:dyDescent="0.25">
      <c r="A2261" s="85" t="s">
        <v>4160</v>
      </c>
      <c r="B2261" s="85" t="s">
        <v>4160</v>
      </c>
      <c r="C2261" s="84" t="s">
        <v>958</v>
      </c>
      <c r="D2261" s="84" t="s">
        <v>4161</v>
      </c>
      <c r="E2261" s="84" t="s">
        <v>1696</v>
      </c>
      <c r="F2261" s="84" t="s">
        <v>1697</v>
      </c>
    </row>
    <row r="2262" spans="1:6" hidden="1" x14ac:dyDescent="0.25">
      <c r="A2262" s="85" t="s">
        <v>4162</v>
      </c>
      <c r="B2262" s="85" t="s">
        <v>4162</v>
      </c>
      <c r="C2262" s="84" t="s">
        <v>958</v>
      </c>
      <c r="D2262" s="84" t="s">
        <v>4163</v>
      </c>
      <c r="E2262" s="84" t="s">
        <v>1696</v>
      </c>
      <c r="F2262" s="84" t="s">
        <v>4162</v>
      </c>
    </row>
    <row r="2263" spans="1:6" hidden="1" x14ac:dyDescent="0.25">
      <c r="A2263" s="85" t="s">
        <v>4164</v>
      </c>
      <c r="B2263" s="85" t="s">
        <v>4164</v>
      </c>
      <c r="C2263" s="84" t="s">
        <v>958</v>
      </c>
      <c r="D2263" s="84" t="s">
        <v>4165</v>
      </c>
      <c r="E2263" s="84" t="s">
        <v>1696</v>
      </c>
      <c r="F2263" s="84" t="s">
        <v>1696</v>
      </c>
    </row>
    <row r="2264" spans="1:6" hidden="1" x14ac:dyDescent="0.25">
      <c r="A2264" s="85" t="s">
        <v>4166</v>
      </c>
      <c r="B2264" s="85" t="s">
        <v>4166</v>
      </c>
      <c r="C2264" s="84" t="s">
        <v>958</v>
      </c>
      <c r="D2264" s="84" t="s">
        <v>4167</v>
      </c>
      <c r="E2264" s="84" t="s">
        <v>1696</v>
      </c>
      <c r="F2264" s="84" t="s">
        <v>1696</v>
      </c>
    </row>
    <row r="2265" spans="1:6" hidden="1" x14ac:dyDescent="0.25">
      <c r="A2265" s="85" t="s">
        <v>4168</v>
      </c>
      <c r="B2265" s="85" t="s">
        <v>4168</v>
      </c>
      <c r="C2265" s="84" t="s">
        <v>958</v>
      </c>
      <c r="D2265" s="84" t="s">
        <v>4169</v>
      </c>
      <c r="E2265" s="84" t="s">
        <v>1696</v>
      </c>
      <c r="F2265" s="84" t="s">
        <v>1696</v>
      </c>
    </row>
    <row r="2266" spans="1:6" hidden="1" x14ac:dyDescent="0.25">
      <c r="A2266" s="85" t="s">
        <v>4170</v>
      </c>
      <c r="B2266" s="85" t="s">
        <v>4170</v>
      </c>
      <c r="C2266" s="84" t="s">
        <v>958</v>
      </c>
      <c r="D2266" s="84" t="s">
        <v>4171</v>
      </c>
      <c r="E2266" s="84" t="s">
        <v>1696</v>
      </c>
      <c r="F2266" s="84" t="s">
        <v>1696</v>
      </c>
    </row>
    <row r="2267" spans="1:6" hidden="1" x14ac:dyDescent="0.25">
      <c r="A2267" s="85" t="s">
        <v>4172</v>
      </c>
      <c r="B2267" s="85" t="s">
        <v>4172</v>
      </c>
      <c r="C2267" s="84" t="s">
        <v>958</v>
      </c>
      <c r="D2267" s="84" t="s">
        <v>4173</v>
      </c>
      <c r="E2267" s="84" t="s">
        <v>1696</v>
      </c>
      <c r="F2267" s="84" t="s">
        <v>1696</v>
      </c>
    </row>
    <row r="2268" spans="1:6" hidden="1" x14ac:dyDescent="0.25">
      <c r="A2268" s="85" t="s">
        <v>4174</v>
      </c>
      <c r="B2268" s="85" t="s">
        <v>4174</v>
      </c>
      <c r="C2268" s="84" t="s">
        <v>958</v>
      </c>
      <c r="D2268" s="84" t="s">
        <v>4175</v>
      </c>
      <c r="E2268" s="84" t="s">
        <v>1696</v>
      </c>
      <c r="F2268" s="84" t="s">
        <v>1696</v>
      </c>
    </row>
    <row r="2269" spans="1:6" hidden="1" x14ac:dyDescent="0.25">
      <c r="A2269" s="85" t="s">
        <v>4176</v>
      </c>
      <c r="B2269" s="85" t="s">
        <v>4176</v>
      </c>
      <c r="C2269" s="84" t="s">
        <v>958</v>
      </c>
      <c r="D2269" s="84" t="s">
        <v>4177</v>
      </c>
      <c r="E2269" s="84" t="s">
        <v>1696</v>
      </c>
      <c r="F2269" s="84" t="s">
        <v>1696</v>
      </c>
    </row>
    <row r="2270" spans="1:6" hidden="1" x14ac:dyDescent="0.25">
      <c r="A2270" s="85" t="s">
        <v>4178</v>
      </c>
      <c r="B2270" s="85" t="s">
        <v>4178</v>
      </c>
      <c r="C2270" s="84" t="s">
        <v>958</v>
      </c>
      <c r="D2270" s="84" t="s">
        <v>4179</v>
      </c>
      <c r="E2270" s="84" t="s">
        <v>1696</v>
      </c>
      <c r="F2270" s="84" t="s">
        <v>1696</v>
      </c>
    </row>
    <row r="2271" spans="1:6" hidden="1" x14ac:dyDescent="0.25">
      <c r="A2271" s="85" t="s">
        <v>4180</v>
      </c>
      <c r="B2271" s="85" t="s">
        <v>4180</v>
      </c>
      <c r="C2271" s="84" t="s">
        <v>958</v>
      </c>
      <c r="D2271" s="84" t="s">
        <v>4181</v>
      </c>
      <c r="E2271" s="84" t="s">
        <v>1696</v>
      </c>
      <c r="F2271" s="84" t="s">
        <v>1696</v>
      </c>
    </row>
    <row r="2272" spans="1:6" hidden="1" x14ac:dyDescent="0.25">
      <c r="A2272" s="85" t="s">
        <v>4182</v>
      </c>
      <c r="B2272" s="85" t="s">
        <v>4182</v>
      </c>
      <c r="C2272" s="84" t="s">
        <v>958</v>
      </c>
      <c r="D2272" s="84" t="s">
        <v>4183</v>
      </c>
      <c r="E2272" s="84" t="s">
        <v>1696</v>
      </c>
      <c r="F2272" s="84" t="s">
        <v>1696</v>
      </c>
    </row>
    <row r="2273" spans="1:6" hidden="1" x14ac:dyDescent="0.25">
      <c r="A2273" s="85" t="s">
        <v>4184</v>
      </c>
      <c r="B2273" s="85" t="s">
        <v>4184</v>
      </c>
      <c r="C2273" s="84" t="s">
        <v>958</v>
      </c>
      <c r="D2273" s="84" t="s">
        <v>4185</v>
      </c>
      <c r="E2273" s="84" t="s">
        <v>1696</v>
      </c>
      <c r="F2273" s="84" t="s">
        <v>1696</v>
      </c>
    </row>
    <row r="2274" spans="1:6" hidden="1" x14ac:dyDescent="0.25">
      <c r="A2274" s="85" t="s">
        <v>4186</v>
      </c>
      <c r="B2274" s="85" t="s">
        <v>4186</v>
      </c>
      <c r="C2274" s="84" t="s">
        <v>958</v>
      </c>
      <c r="D2274" s="84" t="s">
        <v>4187</v>
      </c>
      <c r="E2274" s="84" t="s">
        <v>1696</v>
      </c>
      <c r="F2274" s="84" t="s">
        <v>1696</v>
      </c>
    </row>
    <row r="2275" spans="1:6" hidden="1" x14ac:dyDescent="0.25">
      <c r="A2275" s="85" t="s">
        <v>4188</v>
      </c>
      <c r="B2275" s="85" t="s">
        <v>4188</v>
      </c>
      <c r="C2275" s="84" t="s">
        <v>958</v>
      </c>
      <c r="D2275" s="84" t="s">
        <v>4189</v>
      </c>
      <c r="E2275" s="84" t="s">
        <v>1696</v>
      </c>
      <c r="F2275" s="84" t="s">
        <v>1696</v>
      </c>
    </row>
    <row r="2276" spans="1:6" hidden="1" x14ac:dyDescent="0.25">
      <c r="A2276" s="85" t="s">
        <v>4190</v>
      </c>
      <c r="B2276" s="85" t="s">
        <v>4190</v>
      </c>
      <c r="C2276" s="84" t="s">
        <v>958</v>
      </c>
      <c r="D2276" s="84" t="s">
        <v>4191</v>
      </c>
      <c r="E2276" s="84" t="s">
        <v>1696</v>
      </c>
      <c r="F2276" s="84" t="s">
        <v>1696</v>
      </c>
    </row>
    <row r="2277" spans="1:6" hidden="1" x14ac:dyDescent="0.25">
      <c r="A2277" s="85" t="s">
        <v>4192</v>
      </c>
      <c r="B2277" s="85" t="s">
        <v>4193</v>
      </c>
      <c r="C2277" s="84" t="s">
        <v>958</v>
      </c>
      <c r="D2277" s="84" t="s">
        <v>4194</v>
      </c>
      <c r="E2277" s="84" t="s">
        <v>1696</v>
      </c>
      <c r="F2277" s="84" t="s">
        <v>1696</v>
      </c>
    </row>
    <row r="2278" spans="1:6" hidden="1" x14ac:dyDescent="0.25">
      <c r="A2278" s="85" t="s">
        <v>4195</v>
      </c>
      <c r="B2278" s="85" t="s">
        <v>4193</v>
      </c>
      <c r="C2278" s="84" t="s">
        <v>958</v>
      </c>
      <c r="D2278" s="84" t="s">
        <v>4196</v>
      </c>
      <c r="E2278" s="84" t="s">
        <v>1696</v>
      </c>
      <c r="F2278" s="84" t="s">
        <v>1696</v>
      </c>
    </row>
    <row r="2279" spans="1:6" hidden="1" x14ac:dyDescent="0.25">
      <c r="A2279" s="85" t="s">
        <v>4193</v>
      </c>
      <c r="B2279" s="85" t="s">
        <v>4193</v>
      </c>
      <c r="C2279" s="84" t="s">
        <v>958</v>
      </c>
      <c r="D2279" s="84" t="s">
        <v>4197</v>
      </c>
      <c r="E2279" s="84" t="s">
        <v>1696</v>
      </c>
      <c r="F2279" s="84" t="s">
        <v>1696</v>
      </c>
    </row>
    <row r="2280" spans="1:6" hidden="1" x14ac:dyDescent="0.25">
      <c r="A2280" s="85" t="s">
        <v>4198</v>
      </c>
      <c r="B2280" s="85" t="s">
        <v>4198</v>
      </c>
      <c r="C2280" s="84" t="s">
        <v>958</v>
      </c>
      <c r="D2280" s="84" t="s">
        <v>4199</v>
      </c>
      <c r="E2280" s="84" t="s">
        <v>1696</v>
      </c>
      <c r="F2280" s="84" t="s">
        <v>1696</v>
      </c>
    </row>
    <row r="2281" spans="1:6" hidden="1" x14ac:dyDescent="0.25">
      <c r="A2281" s="85" t="s">
        <v>4200</v>
      </c>
      <c r="B2281" s="85" t="s">
        <v>4200</v>
      </c>
      <c r="C2281" s="84" t="s">
        <v>958</v>
      </c>
      <c r="D2281" s="84" t="s">
        <v>4201</v>
      </c>
      <c r="E2281" s="84" t="s">
        <v>1696</v>
      </c>
      <c r="F2281" s="84" t="s">
        <v>1696</v>
      </c>
    </row>
    <row r="2282" spans="1:6" hidden="1" x14ac:dyDescent="0.25">
      <c r="A2282" s="85" t="s">
        <v>1696</v>
      </c>
      <c r="B2282" s="85" t="s">
        <v>1696</v>
      </c>
      <c r="C2282" s="84" t="s">
        <v>958</v>
      </c>
      <c r="D2282" s="84" t="s">
        <v>4202</v>
      </c>
      <c r="E2282" s="84" t="s">
        <v>1696</v>
      </c>
      <c r="F2282" s="84" t="s">
        <v>1696</v>
      </c>
    </row>
    <row r="2283" spans="1:6" hidden="1" x14ac:dyDescent="0.25">
      <c r="A2283" s="85" t="s">
        <v>4203</v>
      </c>
      <c r="B2283" s="85" t="s">
        <v>4203</v>
      </c>
      <c r="C2283" s="84" t="s">
        <v>958</v>
      </c>
      <c r="D2283" s="84" t="s">
        <v>4203</v>
      </c>
      <c r="E2283" s="84" t="s">
        <v>1696</v>
      </c>
      <c r="F2283" s="84" t="s">
        <v>1696</v>
      </c>
    </row>
    <row r="2284" spans="1:6" hidden="1" x14ac:dyDescent="0.25">
      <c r="A2284" s="85" t="s">
        <v>4204</v>
      </c>
      <c r="B2284" s="85" t="s">
        <v>4204</v>
      </c>
      <c r="C2284" s="84" t="s">
        <v>958</v>
      </c>
      <c r="D2284" s="84" t="s">
        <v>4204</v>
      </c>
      <c r="E2284" s="84" t="s">
        <v>1696</v>
      </c>
      <c r="F2284" s="84" t="s">
        <v>1696</v>
      </c>
    </row>
    <row r="2285" spans="1:6" hidden="1" x14ac:dyDescent="0.25">
      <c r="A2285" s="85" t="s">
        <v>4205</v>
      </c>
      <c r="B2285" s="85" t="s">
        <v>4205</v>
      </c>
      <c r="C2285" s="84" t="s">
        <v>958</v>
      </c>
      <c r="D2285" s="84" t="s">
        <v>4206</v>
      </c>
      <c r="E2285" s="84" t="s">
        <v>1696</v>
      </c>
      <c r="F2285" s="84" t="s">
        <v>1696</v>
      </c>
    </row>
    <row r="2286" spans="1:6" hidden="1" x14ac:dyDescent="0.25">
      <c r="A2286" s="85" t="s">
        <v>4207</v>
      </c>
      <c r="B2286" s="85" t="s">
        <v>4207</v>
      </c>
      <c r="C2286" s="84" t="s">
        <v>958</v>
      </c>
      <c r="D2286" s="84" t="s">
        <v>4198</v>
      </c>
      <c r="E2286" s="84" t="s">
        <v>1696</v>
      </c>
      <c r="F2286" s="84" t="s">
        <v>1696</v>
      </c>
    </row>
    <row r="2287" spans="1:6" hidden="1" x14ac:dyDescent="0.25">
      <c r="A2287" s="85" t="s">
        <v>4208</v>
      </c>
      <c r="B2287" s="85" t="s">
        <v>4208</v>
      </c>
      <c r="C2287" s="84" t="s">
        <v>958</v>
      </c>
      <c r="D2287" s="84" t="s">
        <v>4209</v>
      </c>
      <c r="E2287" s="84" t="s">
        <v>1696</v>
      </c>
      <c r="F2287" s="84" t="s">
        <v>1696</v>
      </c>
    </row>
    <row r="2288" spans="1:6" hidden="1" x14ac:dyDescent="0.25">
      <c r="A2288" s="85" t="s">
        <v>4210</v>
      </c>
      <c r="B2288" s="85" t="s">
        <v>4210</v>
      </c>
      <c r="C2288" s="84" t="s">
        <v>958</v>
      </c>
      <c r="D2288" s="84" t="s">
        <v>4210</v>
      </c>
      <c r="E2288" s="84" t="s">
        <v>1696</v>
      </c>
      <c r="F2288" s="84" t="s">
        <v>1696</v>
      </c>
    </row>
    <row r="2289" spans="1:6" hidden="1" x14ac:dyDescent="0.25">
      <c r="A2289" s="85" t="s">
        <v>4211</v>
      </c>
      <c r="B2289" s="85" t="s">
        <v>4211</v>
      </c>
      <c r="C2289" s="84" t="s">
        <v>958</v>
      </c>
      <c r="D2289" s="84" t="s">
        <v>4211</v>
      </c>
      <c r="E2289" s="84" t="s">
        <v>1696</v>
      </c>
      <c r="F2289" s="84" t="s">
        <v>1696</v>
      </c>
    </row>
    <row r="2290" spans="1:6" hidden="1" x14ac:dyDescent="0.25">
      <c r="A2290" s="85" t="s">
        <v>4212</v>
      </c>
      <c r="B2290" s="85" t="s">
        <v>4212</v>
      </c>
      <c r="C2290" s="84" t="s">
        <v>958</v>
      </c>
      <c r="D2290" s="84" t="s">
        <v>4213</v>
      </c>
      <c r="E2290" s="84" t="s">
        <v>1696</v>
      </c>
      <c r="F2290" s="84" t="s">
        <v>1696</v>
      </c>
    </row>
    <row r="2291" spans="1:6" hidden="1" x14ac:dyDescent="0.25">
      <c r="A2291" s="85" t="s">
        <v>4214</v>
      </c>
      <c r="B2291" s="85" t="s">
        <v>4214</v>
      </c>
      <c r="C2291" s="84" t="s">
        <v>958</v>
      </c>
      <c r="D2291" s="84" t="s">
        <v>4214</v>
      </c>
      <c r="E2291" s="84" t="s">
        <v>1696</v>
      </c>
      <c r="F2291" s="84" t="s">
        <v>1696</v>
      </c>
    </row>
    <row r="2292" spans="1:6" hidden="1" x14ac:dyDescent="0.25">
      <c r="A2292" s="85" t="s">
        <v>4215</v>
      </c>
      <c r="B2292" s="85" t="s">
        <v>4215</v>
      </c>
      <c r="C2292" s="84" t="s">
        <v>958</v>
      </c>
      <c r="D2292" s="84" t="s">
        <v>4216</v>
      </c>
      <c r="E2292" s="84" t="s">
        <v>1696</v>
      </c>
      <c r="F2292" s="84" t="s">
        <v>1696</v>
      </c>
    </row>
    <row r="2293" spans="1:6" hidden="1" x14ac:dyDescent="0.25">
      <c r="A2293" s="85" t="s">
        <v>4217</v>
      </c>
      <c r="B2293" s="85" t="s">
        <v>4217</v>
      </c>
      <c r="C2293" s="84" t="s">
        <v>958</v>
      </c>
      <c r="D2293" s="84" t="s">
        <v>4217</v>
      </c>
      <c r="E2293" s="84" t="s">
        <v>1696</v>
      </c>
      <c r="F2293" s="84" t="s">
        <v>1696</v>
      </c>
    </row>
    <row r="2294" spans="1:6" hidden="1" x14ac:dyDescent="0.25">
      <c r="A2294" s="85" t="s">
        <v>4218</v>
      </c>
      <c r="B2294" s="85" t="s">
        <v>4218</v>
      </c>
      <c r="C2294" s="84" t="s">
        <v>958</v>
      </c>
      <c r="D2294" s="84" t="s">
        <v>4219</v>
      </c>
      <c r="E2294" s="84" t="s">
        <v>4220</v>
      </c>
      <c r="F2294" s="84" t="s">
        <v>4221</v>
      </c>
    </row>
    <row r="2295" spans="1:6" hidden="1" x14ac:dyDescent="0.25">
      <c r="A2295" s="85" t="s">
        <v>4222</v>
      </c>
      <c r="B2295" s="85" t="s">
        <v>4222</v>
      </c>
      <c r="C2295" s="84" t="s">
        <v>958</v>
      </c>
      <c r="D2295" s="84" t="s">
        <v>4223</v>
      </c>
      <c r="E2295" s="84" t="s">
        <v>4220</v>
      </c>
      <c r="F2295" s="84" t="s">
        <v>4224</v>
      </c>
    </row>
    <row r="2296" spans="1:6" hidden="1" x14ac:dyDescent="0.25">
      <c r="A2296" s="85" t="s">
        <v>4225</v>
      </c>
      <c r="B2296" s="85" t="s">
        <v>4225</v>
      </c>
      <c r="C2296" s="84" t="s">
        <v>958</v>
      </c>
      <c r="D2296" s="84" t="s">
        <v>4226</v>
      </c>
      <c r="E2296" s="84" t="s">
        <v>4220</v>
      </c>
      <c r="F2296" s="84" t="s">
        <v>4224</v>
      </c>
    </row>
    <row r="2297" spans="1:6" hidden="1" x14ac:dyDescent="0.25">
      <c r="A2297" s="85" t="s">
        <v>1474</v>
      </c>
      <c r="B2297" s="85" t="s">
        <v>1474</v>
      </c>
      <c r="C2297" s="84" t="s">
        <v>958</v>
      </c>
      <c r="D2297" s="84" t="s">
        <v>1475</v>
      </c>
      <c r="E2297" s="84" t="s">
        <v>1399</v>
      </c>
      <c r="F2297" s="84" t="s">
        <v>1468</v>
      </c>
    </row>
    <row r="2298" spans="1:6" hidden="1" x14ac:dyDescent="0.25">
      <c r="A2298" s="85" t="s">
        <v>4227</v>
      </c>
      <c r="B2298" s="85" t="s">
        <v>4227</v>
      </c>
      <c r="C2298" s="84" t="s">
        <v>958</v>
      </c>
      <c r="D2298" s="84" t="s">
        <v>4228</v>
      </c>
      <c r="E2298" s="84" t="s">
        <v>955</v>
      </c>
      <c r="F2298" s="84" t="s">
        <v>1901</v>
      </c>
    </row>
    <row r="2299" spans="1:6" hidden="1" x14ac:dyDescent="0.25">
      <c r="A2299" s="85" t="s">
        <v>4229</v>
      </c>
      <c r="B2299" s="85" t="s">
        <v>4230</v>
      </c>
      <c r="C2299" s="84" t="s">
        <v>922</v>
      </c>
      <c r="D2299" s="84" t="s">
        <v>4231</v>
      </c>
      <c r="E2299" s="84" t="s">
        <v>1640</v>
      </c>
      <c r="F2299" s="84" t="s">
        <v>1671</v>
      </c>
    </row>
    <row r="2300" spans="1:6" hidden="1" x14ac:dyDescent="0.25">
      <c r="A2300" s="85" t="s">
        <v>4232</v>
      </c>
      <c r="B2300" s="85" t="s">
        <v>4232</v>
      </c>
      <c r="C2300" s="84" t="s">
        <v>958</v>
      </c>
      <c r="D2300" s="84" t="s">
        <v>4233</v>
      </c>
      <c r="E2300" s="84" t="s">
        <v>1696</v>
      </c>
      <c r="F2300" s="84" t="s">
        <v>4392</v>
      </c>
    </row>
    <row r="2301" spans="1:6" hidden="1" x14ac:dyDescent="0.25">
      <c r="A2301" s="85" t="s">
        <v>4234</v>
      </c>
      <c r="B2301" s="85" t="s">
        <v>4234</v>
      </c>
      <c r="C2301" s="84" t="s">
        <v>958</v>
      </c>
      <c r="D2301" s="84" t="s">
        <v>4235</v>
      </c>
      <c r="E2301" s="84" t="s">
        <v>1696</v>
      </c>
      <c r="F2301" s="84" t="s">
        <v>4392</v>
      </c>
    </row>
    <row r="2302" spans="1:6" hidden="1" x14ac:dyDescent="0.25">
      <c r="A2302" s="85" t="s">
        <v>4236</v>
      </c>
      <c r="B2302" s="85" t="s">
        <v>4236</v>
      </c>
      <c r="C2302" s="84" t="s">
        <v>958</v>
      </c>
      <c r="D2302" s="84" t="s">
        <v>4237</v>
      </c>
      <c r="E2302" s="84" t="s">
        <v>1696</v>
      </c>
      <c r="F2302" s="84" t="s">
        <v>4392</v>
      </c>
    </row>
    <row r="2303" spans="1:6" hidden="1" x14ac:dyDescent="0.25">
      <c r="A2303" s="85" t="s">
        <v>1037</v>
      </c>
      <c r="B2303" s="85" t="s">
        <v>1037</v>
      </c>
      <c r="C2303" s="84" t="s">
        <v>958</v>
      </c>
      <c r="D2303" s="84" t="s">
        <v>1038</v>
      </c>
      <c r="E2303" s="84" t="s">
        <v>955</v>
      </c>
      <c r="F2303" s="84" t="s">
        <v>1039</v>
      </c>
    </row>
    <row r="2304" spans="1:6" hidden="1" x14ac:dyDescent="0.25">
      <c r="A2304" s="85" t="s">
        <v>1364</v>
      </c>
      <c r="B2304" s="85" t="s">
        <v>1364</v>
      </c>
      <c r="C2304" s="84" t="s">
        <v>958</v>
      </c>
      <c r="D2304" s="84" t="s">
        <v>1365</v>
      </c>
      <c r="E2304" s="84" t="s">
        <v>955</v>
      </c>
      <c r="F2304" s="84" t="s">
        <v>1366</v>
      </c>
    </row>
    <row r="2305" spans="1:6" hidden="1" x14ac:dyDescent="0.25">
      <c r="A2305" s="85" t="s">
        <v>1367</v>
      </c>
      <c r="B2305" s="85" t="s">
        <v>1367</v>
      </c>
      <c r="C2305" s="84" t="s">
        <v>958</v>
      </c>
      <c r="D2305" s="84" t="s">
        <v>1368</v>
      </c>
      <c r="E2305" s="84" t="s">
        <v>955</v>
      </c>
      <c r="F2305" s="84" t="s">
        <v>1366</v>
      </c>
    </row>
    <row r="2306" spans="1:6" hidden="1" x14ac:dyDescent="0.25">
      <c r="A2306" s="85" t="s">
        <v>1369</v>
      </c>
      <c r="B2306" s="85" t="s">
        <v>1369</v>
      </c>
      <c r="C2306" s="84" t="s">
        <v>958</v>
      </c>
      <c r="D2306" s="84" t="s">
        <v>1370</v>
      </c>
      <c r="E2306" s="84" t="s">
        <v>955</v>
      </c>
      <c r="F2306" s="84" t="s">
        <v>1366</v>
      </c>
    </row>
    <row r="2307" spans="1:6" hidden="1" x14ac:dyDescent="0.25">
      <c r="A2307" s="85" t="s">
        <v>1371</v>
      </c>
      <c r="B2307" s="85" t="s">
        <v>1371</v>
      </c>
      <c r="C2307" s="84" t="s">
        <v>958</v>
      </c>
      <c r="D2307" s="84" t="s">
        <v>1372</v>
      </c>
      <c r="E2307" s="84" t="s">
        <v>955</v>
      </c>
      <c r="F2307" s="84" t="s">
        <v>1366</v>
      </c>
    </row>
    <row r="2308" spans="1:6" hidden="1" x14ac:dyDescent="0.25">
      <c r="A2308" s="85" t="s">
        <v>1373</v>
      </c>
      <c r="B2308" s="85" t="s">
        <v>1373</v>
      </c>
      <c r="C2308" s="84" t="s">
        <v>958</v>
      </c>
      <c r="D2308" s="84" t="s">
        <v>1374</v>
      </c>
      <c r="E2308" s="84" t="s">
        <v>955</v>
      </c>
      <c r="F2308" s="84" t="s">
        <v>1366</v>
      </c>
    </row>
    <row r="2309" spans="1:6" hidden="1" x14ac:dyDescent="0.25">
      <c r="A2309" s="85" t="s">
        <v>1375</v>
      </c>
      <c r="B2309" s="85" t="s">
        <v>1375</v>
      </c>
      <c r="C2309" s="84" t="s">
        <v>958</v>
      </c>
      <c r="D2309" s="84" t="s">
        <v>1376</v>
      </c>
      <c r="E2309" s="84" t="s">
        <v>955</v>
      </c>
      <c r="F2309" s="84" t="s">
        <v>1366</v>
      </c>
    </row>
    <row r="2310" spans="1:6" hidden="1" x14ac:dyDescent="0.25">
      <c r="A2310" s="85" t="s">
        <v>4238</v>
      </c>
      <c r="B2310" s="85" t="s">
        <v>4238</v>
      </c>
      <c r="C2310" s="84" t="s">
        <v>958</v>
      </c>
      <c r="D2310" s="84" t="s">
        <v>4239</v>
      </c>
      <c r="E2310" s="84" t="s">
        <v>955</v>
      </c>
      <c r="F2310" s="84" t="s">
        <v>1366</v>
      </c>
    </row>
    <row r="2311" spans="1:6" hidden="1" x14ac:dyDescent="0.25">
      <c r="A2311" s="85" t="s">
        <v>1377</v>
      </c>
      <c r="B2311" s="85" t="s">
        <v>1377</v>
      </c>
      <c r="C2311" s="84" t="s">
        <v>958</v>
      </c>
      <c r="D2311" s="84" t="s">
        <v>1378</v>
      </c>
      <c r="E2311" s="84" t="s">
        <v>955</v>
      </c>
      <c r="F2311" s="84" t="s">
        <v>1366</v>
      </c>
    </row>
    <row r="2312" spans="1:6" hidden="1" x14ac:dyDescent="0.25">
      <c r="A2312" s="85" t="s">
        <v>1379</v>
      </c>
      <c r="B2312" s="85" t="s">
        <v>1379</v>
      </c>
      <c r="C2312" s="84" t="s">
        <v>958</v>
      </c>
      <c r="D2312" s="84" t="s">
        <v>1380</v>
      </c>
      <c r="E2312" s="84" t="s">
        <v>955</v>
      </c>
      <c r="F2312" s="84" t="s">
        <v>1366</v>
      </c>
    </row>
    <row r="2313" spans="1:6" hidden="1" x14ac:dyDescent="0.25">
      <c r="A2313" s="85" t="s">
        <v>1381</v>
      </c>
      <c r="B2313" s="85" t="s">
        <v>1381</v>
      </c>
      <c r="C2313" s="84" t="s">
        <v>958</v>
      </c>
      <c r="D2313" s="84" t="s">
        <v>1382</v>
      </c>
      <c r="E2313" s="84" t="s">
        <v>955</v>
      </c>
      <c r="F2313" s="84" t="s">
        <v>1366</v>
      </c>
    </row>
    <row r="2314" spans="1:6" hidden="1" x14ac:dyDescent="0.25">
      <c r="A2314" s="85" t="s">
        <v>1383</v>
      </c>
      <c r="B2314" s="85" t="s">
        <v>1383</v>
      </c>
      <c r="C2314" s="84" t="s">
        <v>958</v>
      </c>
      <c r="D2314" s="84" t="s">
        <v>1384</v>
      </c>
      <c r="E2314" s="84" t="s">
        <v>955</v>
      </c>
      <c r="F2314" s="84" t="s">
        <v>1366</v>
      </c>
    </row>
    <row r="2315" spans="1:6" hidden="1" x14ac:dyDescent="0.25">
      <c r="A2315" s="85" t="s">
        <v>1385</v>
      </c>
      <c r="B2315" s="85" t="s">
        <v>1385</v>
      </c>
      <c r="C2315" s="84" t="s">
        <v>958</v>
      </c>
      <c r="D2315" s="84" t="s">
        <v>1386</v>
      </c>
      <c r="E2315" s="84" t="s">
        <v>955</v>
      </c>
      <c r="F2315" s="84" t="s">
        <v>1366</v>
      </c>
    </row>
    <row r="2316" spans="1:6" hidden="1" x14ac:dyDescent="0.25">
      <c r="A2316" s="85" t="s">
        <v>1387</v>
      </c>
      <c r="B2316" s="85" t="s">
        <v>1387</v>
      </c>
      <c r="C2316" s="84" t="s">
        <v>958</v>
      </c>
      <c r="D2316" s="84" t="s">
        <v>1388</v>
      </c>
      <c r="E2316" s="84" t="s">
        <v>955</v>
      </c>
      <c r="F2316" s="84" t="s">
        <v>1366</v>
      </c>
    </row>
    <row r="2317" spans="1:6" hidden="1" x14ac:dyDescent="0.25">
      <c r="A2317" s="85" t="s">
        <v>1389</v>
      </c>
      <c r="B2317" s="85" t="s">
        <v>1389</v>
      </c>
      <c r="C2317" s="84" t="s">
        <v>958</v>
      </c>
      <c r="D2317" s="84" t="s">
        <v>1390</v>
      </c>
      <c r="E2317" s="84" t="s">
        <v>955</v>
      </c>
      <c r="F2317" s="84" t="s">
        <v>1366</v>
      </c>
    </row>
    <row r="2318" spans="1:6" hidden="1" x14ac:dyDescent="0.25">
      <c r="A2318" s="85" t="s">
        <v>1391</v>
      </c>
      <c r="B2318" s="85" t="s">
        <v>1391</v>
      </c>
      <c r="C2318" s="84" t="s">
        <v>958</v>
      </c>
      <c r="D2318" s="84" t="s">
        <v>1392</v>
      </c>
      <c r="E2318" s="84" t="s">
        <v>955</v>
      </c>
      <c r="F2318" s="84" t="s">
        <v>1366</v>
      </c>
    </row>
    <row r="2319" spans="1:6" hidden="1" x14ac:dyDescent="0.25">
      <c r="A2319" s="85" t="s">
        <v>1393</v>
      </c>
      <c r="B2319" s="85" t="s">
        <v>1393</v>
      </c>
      <c r="C2319" s="84" t="s">
        <v>958</v>
      </c>
      <c r="D2319" s="84" t="s">
        <v>1394</v>
      </c>
      <c r="E2319" s="84" t="s">
        <v>955</v>
      </c>
      <c r="F2319" s="84" t="s">
        <v>1366</v>
      </c>
    </row>
    <row r="2320" spans="1:6" hidden="1" x14ac:dyDescent="0.25">
      <c r="A2320" s="85" t="s">
        <v>1395</v>
      </c>
      <c r="B2320" s="85" t="s">
        <v>1395</v>
      </c>
      <c r="C2320" s="84" t="s">
        <v>958</v>
      </c>
      <c r="D2320" s="84" t="s">
        <v>1396</v>
      </c>
      <c r="E2320" s="84" t="s">
        <v>955</v>
      </c>
      <c r="F2320" s="84" t="s">
        <v>1366</v>
      </c>
    </row>
    <row r="2321" spans="1:6" hidden="1" x14ac:dyDescent="0.25">
      <c r="A2321" s="85" t="s">
        <v>1397</v>
      </c>
      <c r="B2321" s="85" t="s">
        <v>1397</v>
      </c>
      <c r="C2321" s="84" t="s">
        <v>958</v>
      </c>
      <c r="D2321" s="84" t="s">
        <v>1398</v>
      </c>
      <c r="E2321" s="84" t="s">
        <v>955</v>
      </c>
      <c r="F2321" s="84" t="s">
        <v>1366</v>
      </c>
    </row>
    <row r="2322" spans="1:6" hidden="1" x14ac:dyDescent="0.25">
      <c r="A2322" s="85" t="s">
        <v>4240</v>
      </c>
      <c r="B2322" s="85" t="s">
        <v>4240</v>
      </c>
      <c r="C2322" s="84" t="s">
        <v>958</v>
      </c>
      <c r="D2322" s="84" t="s">
        <v>4241</v>
      </c>
      <c r="E2322" s="84" t="s">
        <v>955</v>
      </c>
      <c r="F2322" s="84" t="s">
        <v>1366</v>
      </c>
    </row>
    <row r="2323" spans="1:6" hidden="1" x14ac:dyDescent="0.25">
      <c r="A2323" s="85" t="s">
        <v>4242</v>
      </c>
      <c r="B2323" s="85" t="s">
        <v>4242</v>
      </c>
      <c r="C2323" s="84" t="s">
        <v>958</v>
      </c>
      <c r="D2323" s="84" t="s">
        <v>4243</v>
      </c>
      <c r="E2323" s="84" t="s">
        <v>1640</v>
      </c>
      <c r="F2323" s="84" t="s">
        <v>1366</v>
      </c>
    </row>
    <row r="2324" spans="1:6" hidden="1" x14ac:dyDescent="0.25">
      <c r="A2324" s="85">
        <v>92767</v>
      </c>
      <c r="B2324" s="85">
        <v>92767</v>
      </c>
      <c r="C2324" s="84" t="s">
        <v>2888</v>
      </c>
      <c r="D2324" s="84" t="s">
        <v>4244</v>
      </c>
      <c r="E2324" s="84" t="s">
        <v>1399</v>
      </c>
      <c r="F2324" s="84" t="s">
        <v>1419</v>
      </c>
    </row>
    <row r="2325" spans="1:6" hidden="1" x14ac:dyDescent="0.25">
      <c r="A2325" s="85">
        <v>92768</v>
      </c>
      <c r="B2325" s="85">
        <v>92768</v>
      </c>
      <c r="C2325" s="84" t="s">
        <v>2888</v>
      </c>
      <c r="D2325" s="84" t="s">
        <v>4245</v>
      </c>
      <c r="E2325" s="84" t="s">
        <v>1399</v>
      </c>
      <c r="F2325" s="84" t="s">
        <v>1419</v>
      </c>
    </row>
    <row r="2326" spans="1:6" hidden="1" x14ac:dyDescent="0.25">
      <c r="A2326" s="85" t="s">
        <v>4246</v>
      </c>
      <c r="B2326" s="85" t="s">
        <v>4247</v>
      </c>
      <c r="C2326" s="84" t="s">
        <v>922</v>
      </c>
      <c r="D2326" s="84" t="s">
        <v>4248</v>
      </c>
      <c r="E2326" s="84" t="s">
        <v>1399</v>
      </c>
      <c r="F2326" s="84" t="s">
        <v>1548</v>
      </c>
    </row>
    <row r="2327" spans="1:6" hidden="1" x14ac:dyDescent="0.25">
      <c r="A2327" s="85" t="s">
        <v>4249</v>
      </c>
      <c r="B2327" s="85" t="s">
        <v>4250</v>
      </c>
      <c r="C2327" s="84" t="s">
        <v>922</v>
      </c>
      <c r="D2327" s="84" t="s">
        <v>4251</v>
      </c>
      <c r="E2327" s="84" t="s">
        <v>1399</v>
      </c>
      <c r="F2327" s="84" t="s">
        <v>1548</v>
      </c>
    </row>
    <row r="2328" spans="1:6" hidden="1" x14ac:dyDescent="0.25">
      <c r="A2328" s="85" t="s">
        <v>4252</v>
      </c>
      <c r="B2328" s="85" t="s">
        <v>4253</v>
      </c>
      <c r="C2328" s="84" t="s">
        <v>922</v>
      </c>
      <c r="D2328" s="84" t="s">
        <v>4254</v>
      </c>
      <c r="E2328" s="84" t="s">
        <v>1399</v>
      </c>
      <c r="F2328" s="84" t="s">
        <v>1548</v>
      </c>
    </row>
    <row r="2329" spans="1:6" hidden="1" x14ac:dyDescent="0.25">
      <c r="A2329" s="85" t="s">
        <v>4255</v>
      </c>
      <c r="B2329" s="85" t="s">
        <v>4256</v>
      </c>
      <c r="C2329" s="84" t="s">
        <v>922</v>
      </c>
      <c r="D2329" s="84" t="s">
        <v>4257</v>
      </c>
      <c r="E2329" s="84" t="s">
        <v>1399</v>
      </c>
      <c r="F2329" s="84" t="s">
        <v>1548</v>
      </c>
    </row>
    <row r="2330" spans="1:6" hidden="1" x14ac:dyDescent="0.25">
      <c r="A2330" s="85" t="s">
        <v>4282</v>
      </c>
      <c r="B2330" s="85" t="s">
        <v>4282</v>
      </c>
      <c r="C2330" s="84" t="s">
        <v>958</v>
      </c>
      <c r="D2330" s="84" t="s">
        <v>416</v>
      </c>
      <c r="E2330" s="84" t="s">
        <v>955</v>
      </c>
      <c r="F2330" s="84" t="s">
        <v>1043</v>
      </c>
    </row>
  </sheetData>
  <autoFilter ref="A1:F2330" xr:uid="{8E3F589F-2BAB-48D5-B493-AF2F63B742BD}">
    <filterColumn colId="0">
      <filters>
        <filter val="2-879R"/>
        <filter val="2-880R"/>
        <filter val="2-881R"/>
        <filter val="4-800"/>
        <filter val="4-801"/>
        <filter val="4-802"/>
        <filter val="4-803"/>
        <filter val="4-805"/>
        <filter val="4-806"/>
        <filter val="4-807"/>
        <filter val="4-808"/>
        <filter val="4-811"/>
        <filter val="4-812"/>
        <filter val="4-813"/>
        <filter val="4-815"/>
        <filter val="4-816"/>
        <filter val="4-817"/>
        <filter val="4-818"/>
        <filter val="4-821"/>
        <filter val="4-822"/>
        <filter val="4-823"/>
        <filter val="4-824"/>
        <filter val="4-825"/>
        <filter val="4-826"/>
        <filter val="4-827"/>
        <filter val="4-828"/>
        <filter val="4-829"/>
        <filter val="4-830"/>
        <filter val="4-831"/>
        <filter val="4-832"/>
        <filter val="4-833"/>
        <filter val="4-834"/>
        <filter val="4-835"/>
        <filter val="4-836"/>
        <filter val="4-837"/>
        <filter val="4-838"/>
        <filter val="4-839"/>
        <filter val="4-841"/>
        <filter val="4-842"/>
        <filter val="4-843"/>
        <filter val="4-844"/>
        <filter val="4-845"/>
        <filter val="4-847"/>
        <filter val="4-850"/>
        <filter val="4-851"/>
        <filter val="4-852"/>
        <filter val="4-853"/>
        <filter val="4-854"/>
        <filter val="4-855"/>
        <filter val="4-856"/>
        <filter val="4-857"/>
        <filter val="4-860"/>
        <filter val="4-861"/>
        <filter val="4-862"/>
        <filter val="4-863"/>
        <filter val="4-865"/>
        <filter val="4-866"/>
        <filter val="4-867"/>
        <filter val="4-868"/>
        <filter val="4-869"/>
        <filter val="4-875"/>
        <filter val="4-875R"/>
        <filter val="4-877"/>
        <filter val="4-877R"/>
        <filter val="4-878"/>
        <filter val="4-879"/>
        <filter val="4-880"/>
        <filter val="4-880R"/>
        <filter val="4-881"/>
        <filter val="4-881R"/>
        <filter val="4-890"/>
        <filter val="4-891"/>
        <filter val="4-892"/>
        <filter val="4-893"/>
        <filter val="5-801"/>
        <filter val="5-802"/>
        <filter val="5-803"/>
        <filter val="5-804"/>
        <filter val="5-805"/>
        <filter val="5-806"/>
        <filter val="5-807"/>
        <filter val="5-808"/>
        <filter val="5-820"/>
        <filter val="5-821"/>
        <filter val="5-822"/>
        <filter val="5-823"/>
        <filter val="5-824"/>
        <filter val="5-825"/>
        <filter val="5-830"/>
        <filter val="5-831"/>
        <filter val="5-832"/>
        <filter val="5-833"/>
        <filter val="5-834"/>
        <filter val="5-835"/>
        <filter val="5-840"/>
        <filter val="5-841"/>
        <filter val="5-842"/>
        <filter val="5-843"/>
        <filter val="5-844"/>
        <filter val="5-845"/>
        <filter val="5-850"/>
        <filter val="5-851"/>
        <filter val="5-852"/>
        <filter val="5-853"/>
        <filter val="5-854"/>
        <filter val="5-855"/>
        <filter val="5-861"/>
        <filter val="5-862"/>
        <filter val="5-863"/>
        <filter val="5-870"/>
        <filter val="5-871"/>
        <filter val="5-872"/>
        <filter val="5-873"/>
        <filter val="5-874"/>
        <filter val="5-875"/>
        <filter val="5-876"/>
        <filter val="DXTT-2-801"/>
        <filter val="DXTT-2-803"/>
        <filter val="DXTT-2-805"/>
        <filter val="DXTT-2-806"/>
        <filter val="DXTT-2-807"/>
        <filter val="DXTT-2-877"/>
        <filter val="DXTT-2-878"/>
        <filter val="DXTT-2-879"/>
        <filter val="DXTT-2-880"/>
        <filter val="DXTT-2-881"/>
        <filter val="DXTT-2-882"/>
        <filter val="DXTT-3-820"/>
        <filter val="DXTT-3-821"/>
        <filter val="DXTT-3-822"/>
        <filter val="DXTT-3-823"/>
        <filter val="DXTT-3-824"/>
        <filter val="DXTT-3-825"/>
        <filter val="DXTT-3-830"/>
        <filter val="DXTT-3-831"/>
        <filter val="DXTT-3-832"/>
        <filter val="DXTT-3-833"/>
        <filter val="DXTT-3-834"/>
        <filter val="DXTT-3-835"/>
        <filter val="DXTT-3-840"/>
        <filter val="DXTT-3-841"/>
        <filter val="DXTT-3-842"/>
        <filter val="DXTT-3-843"/>
        <filter val="DXTT-3-844"/>
        <filter val="DXTT-3-845"/>
        <filter val="DXTT-3-850"/>
        <filter val="DXTT-3-851"/>
        <filter val="DXTT-3-852"/>
        <filter val="DXTT-3-853"/>
        <filter val="DXTT-3-854"/>
        <filter val="DXTT-3-855"/>
        <filter val="EU2-877"/>
        <filter val="EU2-878"/>
        <filter val="EU2-879"/>
        <filter val="EU2-880"/>
        <filter val="EU2-88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99B5-B29F-4CDA-8447-E139554C6AC8}">
  <sheetPr>
    <pageSetUpPr fitToPage="1"/>
  </sheetPr>
  <dimension ref="A1:G33"/>
  <sheetViews>
    <sheetView tabSelected="1" zoomScaleNormal="100" workbookViewId="0">
      <pane ySplit="11" topLeftCell="A12" activePane="bottomLeft" state="frozen"/>
      <selection pane="bottomLeft" activeCell="A3" sqref="A3"/>
    </sheetView>
  </sheetViews>
  <sheetFormatPr defaultColWidth="8.7109375" defaultRowHeight="15" x14ac:dyDescent="0.25"/>
  <cols>
    <col min="1" max="1" width="11.42578125" customWidth="1"/>
    <col min="2" max="2" width="29.7109375" customWidth="1"/>
    <col min="3" max="3" width="8.7109375" customWidth="1"/>
    <col min="4" max="4" width="3.42578125" customWidth="1"/>
    <col min="5" max="5" width="13.140625" customWidth="1"/>
    <col min="6" max="6" width="19.42578125" customWidth="1"/>
    <col min="7" max="7" width="20.42578125" customWidth="1"/>
  </cols>
  <sheetData>
    <row r="1" spans="1:7" ht="31.5" x14ac:dyDescent="0.5">
      <c r="A1" s="25"/>
      <c r="B1" s="25"/>
      <c r="C1" s="25"/>
      <c r="D1" s="81" t="s">
        <v>1720</v>
      </c>
      <c r="E1" s="25"/>
      <c r="F1" s="25"/>
      <c r="G1" s="25"/>
    </row>
    <row r="2" spans="1:7" x14ac:dyDescent="0.25">
      <c r="A2" s="25"/>
      <c r="B2" s="27"/>
      <c r="C2" s="27"/>
      <c r="D2" s="25"/>
      <c r="E2" s="25"/>
      <c r="F2" s="25"/>
      <c r="G2" s="25"/>
    </row>
    <row r="3" spans="1:7" x14ac:dyDescent="0.25">
      <c r="A3" s="34" t="s">
        <v>0</v>
      </c>
      <c r="B3" s="35"/>
      <c r="C3" s="36"/>
      <c r="D3" s="37"/>
      <c r="E3" s="34" t="s">
        <v>1</v>
      </c>
      <c r="F3" s="38"/>
      <c r="G3" s="62"/>
    </row>
    <row r="4" spans="1:7" x14ac:dyDescent="0.25">
      <c r="A4" s="39" t="s">
        <v>2</v>
      </c>
      <c r="B4" s="40"/>
      <c r="C4" s="36"/>
      <c r="D4" s="37"/>
      <c r="E4" s="34" t="s">
        <v>3</v>
      </c>
      <c r="F4" s="41"/>
      <c r="G4" s="63"/>
    </row>
    <row r="5" spans="1:7" x14ac:dyDescent="0.25">
      <c r="A5" s="40"/>
      <c r="B5" s="40"/>
      <c r="C5" s="36"/>
      <c r="D5" s="42"/>
      <c r="E5" s="34" t="s">
        <v>4</v>
      </c>
      <c r="F5" s="41"/>
      <c r="G5" s="62"/>
    </row>
    <row r="6" spans="1:7" x14ac:dyDescent="0.25">
      <c r="A6" s="40"/>
      <c r="B6" s="40"/>
      <c r="C6" s="36"/>
      <c r="D6" s="42"/>
      <c r="E6" s="34" t="s">
        <v>5</v>
      </c>
      <c r="F6" s="38"/>
      <c r="G6" s="63"/>
    </row>
    <row r="7" spans="1:7" x14ac:dyDescent="0.25">
      <c r="A7" s="22"/>
      <c r="B7" s="22"/>
    </row>
    <row r="11" spans="1:7" ht="30" customHeight="1" x14ac:dyDescent="0.25">
      <c r="E11" s="66" t="s">
        <v>643</v>
      </c>
      <c r="F11" s="67" t="s">
        <v>7</v>
      </c>
    </row>
    <row r="12" spans="1:7" ht="30" customHeight="1" x14ac:dyDescent="0.25">
      <c r="A12" s="80" t="s">
        <v>1718</v>
      </c>
      <c r="B12" s="80" t="s">
        <v>1399</v>
      </c>
      <c r="C12" s="23"/>
      <c r="E12" s="95">
        <f>SUMIFS('Order Input - Level5'!L:L,'Order Input - Level5'!C:C,'Order Summary'!A12,'Order Input - Level5'!D:D,'Order Summary'!B12)</f>
        <v>0</v>
      </c>
      <c r="F12" s="92">
        <f>SUMIFS('Order Input - Level5'!M:M,'Order Input - Level5'!C:C,'Order Summary'!A12,'Order Input - Level5'!D:D,'Order Summary'!B12)</f>
        <v>0</v>
      </c>
    </row>
    <row r="13" spans="1:7" ht="30" customHeight="1" x14ac:dyDescent="0.25">
      <c r="A13" s="80" t="s">
        <v>1718</v>
      </c>
      <c r="B13" s="80" t="s">
        <v>1640</v>
      </c>
      <c r="C13" s="23"/>
      <c r="E13" s="95">
        <f>SUMIFS('Order Input - Level5'!L:L,'Order Input - Level5'!C:C,'Order Summary'!A13,'Order Input - Level5'!D:D,'Order Summary'!B13)</f>
        <v>0</v>
      </c>
      <c r="F13" s="92">
        <f>SUMIFS('Order Input - Level5'!M:M,'Order Input - Level5'!C:C,'Order Summary'!A13,'Order Input - Level5'!D:D,'Order Summary'!B13)</f>
        <v>0</v>
      </c>
    </row>
    <row r="14" spans="1:7" ht="30" customHeight="1" x14ac:dyDescent="0.25">
      <c r="A14" s="80" t="s">
        <v>1718</v>
      </c>
      <c r="B14" s="80" t="s">
        <v>955</v>
      </c>
      <c r="C14" s="23"/>
      <c r="E14" s="95">
        <f>SUMIFS('Order Input - Level5'!L:L,'Order Input - Level5'!C:C,'Order Summary'!A14,'Order Input - Level5'!D:D,'Order Summary'!B14)</f>
        <v>0</v>
      </c>
      <c r="F14" s="92">
        <f>SUMIFS('Order Input - Level5'!M:M,'Order Input - Level5'!C:C,'Order Summary'!A14,'Order Input - Level5'!D:D,'Order Summary'!B14)</f>
        <v>0</v>
      </c>
    </row>
    <row r="15" spans="1:7" ht="30" customHeight="1" x14ac:dyDescent="0.25">
      <c r="A15" s="80" t="s">
        <v>1719</v>
      </c>
      <c r="B15" s="80" t="s">
        <v>1399</v>
      </c>
      <c r="C15" s="23"/>
      <c r="E15" s="95">
        <f>SUMIFS('Order Input - DeWalt'!L:L,'Order Input - DeWalt'!C:C,'Order Summary'!A15,'Order Input - DeWalt'!D:D,'Order Summary'!B15)</f>
        <v>0</v>
      </c>
      <c r="F15" s="92">
        <f>SUMIFS('Order Input - DeWalt'!M:M,'Order Input - DeWalt'!C:C,'Order Summary'!A15,'Order Input - DeWalt'!D:D,'Order Summary'!B15)</f>
        <v>0</v>
      </c>
    </row>
    <row r="16" spans="1:7" ht="30" customHeight="1" x14ac:dyDescent="0.25">
      <c r="A16" s="80" t="s">
        <v>1719</v>
      </c>
      <c r="B16" s="80" t="s">
        <v>923</v>
      </c>
      <c r="C16" s="23"/>
      <c r="E16" s="95">
        <f>SUMIFS('Order Input - DeWalt'!L:L,'Order Input - DeWalt'!C:C,'Order Summary'!A16,'Order Input - DeWalt'!D:D,'Order Summary'!B16)</f>
        <v>0</v>
      </c>
      <c r="F16" s="92">
        <f>SUMIFS('Order Input - DeWalt'!M:M,'Order Input - DeWalt'!C:C,'Order Summary'!A16,'Order Input - DeWalt'!D:D,'Order Summary'!B16)</f>
        <v>0</v>
      </c>
    </row>
    <row r="17" spans="1:7" ht="30" customHeight="1" x14ac:dyDescent="0.25">
      <c r="A17" s="80" t="s">
        <v>1719</v>
      </c>
      <c r="B17" s="80" t="s">
        <v>1640</v>
      </c>
      <c r="C17" s="23"/>
      <c r="E17" s="95">
        <f>SUMIFS('Order Input - DeWalt'!L:L,'Order Input - DeWalt'!C:C,'Order Summary'!A17,'Order Input - DeWalt'!D:D,'Order Summary'!B17)</f>
        <v>0</v>
      </c>
      <c r="F17" s="92">
        <f>SUMIFS('Order Input - DeWalt'!M:M,'Order Input - DeWalt'!C:C,'Order Summary'!A17,'Order Input - DeWalt'!D:D,'Order Summary'!B17)</f>
        <v>0</v>
      </c>
    </row>
    <row r="18" spans="1:7" ht="30" customHeight="1" x14ac:dyDescent="0.25">
      <c r="A18" s="80" t="s">
        <v>1719</v>
      </c>
      <c r="B18" s="80" t="s">
        <v>955</v>
      </c>
      <c r="C18" s="23"/>
      <c r="E18" s="95">
        <f>SUMIFS('Order Input - DeWalt'!L:L,'Order Input - DeWalt'!C:C,'Order Summary'!A18,'Order Input - DeWalt'!D:D,'Order Summary'!B18)</f>
        <v>0</v>
      </c>
      <c r="F18" s="92">
        <f>SUMIFS('Order Input - DeWalt'!M:M,'Order Input - DeWalt'!C:C,'Order Summary'!A18,'Order Input - DeWalt'!D:D,'Order Summary'!B18)</f>
        <v>0</v>
      </c>
    </row>
    <row r="19" spans="1:7" ht="30" customHeight="1" x14ac:dyDescent="0.25">
      <c r="A19" s="80"/>
      <c r="B19" s="80" t="s">
        <v>8</v>
      </c>
      <c r="C19" s="23"/>
      <c r="E19" s="95">
        <f>'Order Input-Individual Part '!K133</f>
        <v>0</v>
      </c>
      <c r="F19" s="93">
        <f>'Order Input-Individual Part '!L133</f>
        <v>0</v>
      </c>
    </row>
    <row r="20" spans="1:7" ht="30" customHeight="1" x14ac:dyDescent="0.25">
      <c r="A20" s="80"/>
      <c r="B20" s="80" t="s">
        <v>9</v>
      </c>
      <c r="C20" s="23"/>
      <c r="E20" s="95">
        <f>'Order Input-Part Kits'!K74</f>
        <v>0</v>
      </c>
      <c r="F20" s="93">
        <f>'Order Input-Part Kits'!L74</f>
        <v>0</v>
      </c>
    </row>
    <row r="21" spans="1:7" ht="30" customHeight="1" x14ac:dyDescent="0.25">
      <c r="B21" s="80" t="s">
        <v>10</v>
      </c>
      <c r="C21" s="23"/>
      <c r="E21" s="95">
        <f>'Order Input-Merch. And Mktg'!K25</f>
        <v>0</v>
      </c>
      <c r="F21" s="92">
        <f>'Order Input-Merch. And Mktg'!L25</f>
        <v>0</v>
      </c>
    </row>
    <row r="22" spans="1:7" ht="30" customHeight="1" x14ac:dyDescent="0.25">
      <c r="B22" s="80" t="s">
        <v>11</v>
      </c>
      <c r="C22" s="23"/>
      <c r="E22" s="96">
        <f>SUM(E12:E21)</f>
        <v>0</v>
      </c>
      <c r="F22" s="94">
        <f>SUM(F12:F21)</f>
        <v>0</v>
      </c>
    </row>
    <row r="29" spans="1:7" ht="19.5" thickBot="1" x14ac:dyDescent="0.35">
      <c r="A29" s="106" t="s">
        <v>12</v>
      </c>
      <c r="B29" s="106"/>
      <c r="C29" s="106"/>
      <c r="D29" s="106"/>
      <c r="E29" s="106"/>
      <c r="F29" s="106"/>
      <c r="G29" s="106"/>
    </row>
    <row r="30" spans="1:7" x14ac:dyDescent="0.25">
      <c r="A30" s="64" t="s">
        <v>13</v>
      </c>
    </row>
    <row r="31" spans="1:7" x14ac:dyDescent="0.25">
      <c r="A31" s="64" t="s">
        <v>14</v>
      </c>
    </row>
    <row r="32" spans="1:7" x14ac:dyDescent="0.25">
      <c r="A32" s="64" t="s">
        <v>15</v>
      </c>
    </row>
    <row r="33" spans="1:1" x14ac:dyDescent="0.25">
      <c r="A33" s="65" t="s">
        <v>16</v>
      </c>
    </row>
  </sheetData>
  <sheetProtection algorithmName="SHA-512" hashValue="z9pDXH+kYbIDWVl4DIJlCavZfze1FeFfpEIh4R7d32xqybeGc05EgDXNUWeTW6A0yQjMCqyjs3WEvLr1/fdteA==" saltValue="e/+xQHtlbf6x0VF2b3vwZg==" spinCount="100000" sheet="1" selectLockedCells="1"/>
  <mergeCells count="1">
    <mergeCell ref="A29:G29"/>
  </mergeCells>
  <pageMargins left="0.7" right="0.7" top="0.75" bottom="0.75" header="0.3" footer="0.3"/>
  <pageSetup scale="8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EEDC-62D4-4BCA-B08E-8BA4330E9F08}">
  <sheetPr>
    <pageSetUpPr fitToPage="1"/>
  </sheetPr>
  <dimension ref="A1:O274"/>
  <sheetViews>
    <sheetView workbookViewId="0">
      <pane ySplit="10" topLeftCell="A11" activePane="bottomLeft" state="frozen"/>
      <selection pane="bottomLeft" activeCell="M11" sqref="M11"/>
    </sheetView>
  </sheetViews>
  <sheetFormatPr defaultColWidth="8.7109375" defaultRowHeight="15" x14ac:dyDescent="0.25"/>
  <cols>
    <col min="1" max="2" width="10.140625" customWidth="1"/>
    <col min="3" max="3" width="61.140625" customWidth="1"/>
    <col min="4" max="4" width="7.42578125" bestFit="1" customWidth="1"/>
    <col min="5" max="5" width="20.140625" bestFit="1" customWidth="1"/>
    <col min="6" max="6" width="20.42578125" bestFit="1" customWidth="1"/>
    <col min="7" max="8" width="8.7109375" customWidth="1"/>
    <col min="9" max="9" width="10.42578125" customWidth="1"/>
    <col min="10" max="11" width="11.7109375" customWidth="1"/>
    <col min="12" max="12" width="12" customWidth="1"/>
    <col min="13" max="13" width="11" customWidth="1"/>
    <col min="14" max="14" width="17.42578125" customWidth="1"/>
    <col min="15" max="15" width="10.5703125" style="90" bestFit="1" customWidth="1"/>
  </cols>
  <sheetData>
    <row r="1" spans="1:15" x14ac:dyDescent="0.25">
      <c r="A1" s="25"/>
      <c r="B1" s="25"/>
      <c r="C1" s="25"/>
      <c r="D1" s="25"/>
      <c r="E1" s="25"/>
      <c r="F1" s="26"/>
      <c r="G1" s="29"/>
      <c r="H1" s="29" t="s">
        <v>17</v>
      </c>
      <c r="I1" s="25"/>
      <c r="J1" s="25"/>
      <c r="K1" s="25"/>
      <c r="L1" s="25"/>
      <c r="M1" s="25"/>
      <c r="N1" s="25"/>
    </row>
    <row r="2" spans="1:15" ht="3.75" customHeight="1" x14ac:dyDescent="0.25">
      <c r="A2" s="25"/>
      <c r="B2" s="27"/>
      <c r="C2" s="27"/>
      <c r="D2" s="27"/>
      <c r="E2" s="27"/>
      <c r="F2" s="27"/>
      <c r="G2" s="27"/>
      <c r="H2" s="25"/>
      <c r="I2" s="27"/>
      <c r="J2" s="25"/>
      <c r="K2" s="25"/>
      <c r="L2" s="25"/>
      <c r="M2" s="25"/>
      <c r="N2" s="25"/>
    </row>
    <row r="3" spans="1:15" ht="15" customHeight="1" x14ac:dyDescent="0.25">
      <c r="A3" s="28" t="s">
        <v>0</v>
      </c>
      <c r="B3" s="105"/>
      <c r="C3" s="31">
        <f>'Order Summary'!B3</f>
        <v>0</v>
      </c>
      <c r="D3" s="79"/>
      <c r="E3" s="79"/>
      <c r="F3" s="26"/>
      <c r="G3" s="26"/>
      <c r="H3" s="29"/>
      <c r="I3" s="79"/>
      <c r="J3" s="28" t="s">
        <v>1</v>
      </c>
      <c r="K3" s="28"/>
      <c r="L3" s="28"/>
      <c r="M3" s="28"/>
      <c r="N3" s="102">
        <f>'Order Summary'!$F3</f>
        <v>0</v>
      </c>
    </row>
    <row r="4" spans="1:15" x14ac:dyDescent="0.25">
      <c r="A4" s="30" t="s">
        <v>2</v>
      </c>
      <c r="B4" s="105"/>
      <c r="C4" s="33">
        <f>'Order Summary'!B4</f>
        <v>0</v>
      </c>
      <c r="D4" s="79"/>
      <c r="E4" s="79"/>
      <c r="F4" s="26"/>
      <c r="G4" s="26"/>
      <c r="H4" s="29"/>
      <c r="I4" s="79"/>
      <c r="J4" s="28" t="s">
        <v>3</v>
      </c>
      <c r="K4" s="28"/>
      <c r="L4" s="28"/>
      <c r="M4" s="28"/>
      <c r="N4" s="101">
        <f>'Order Summary'!$F4</f>
        <v>0</v>
      </c>
    </row>
    <row r="5" spans="1:15" x14ac:dyDescent="0.25">
      <c r="A5" s="108">
        <f>'Order Summary'!B5</f>
        <v>0</v>
      </c>
      <c r="B5" s="108"/>
      <c r="C5" s="108"/>
      <c r="D5" s="79"/>
      <c r="E5" s="79"/>
      <c r="F5" s="26"/>
      <c r="G5" s="26"/>
      <c r="H5" s="25"/>
      <c r="I5" s="79"/>
      <c r="J5" s="28" t="s">
        <v>4</v>
      </c>
      <c r="K5" s="28"/>
      <c r="L5" s="28"/>
      <c r="M5" s="28"/>
      <c r="N5" s="103">
        <f>'Order Summary'!$F5</f>
        <v>0</v>
      </c>
    </row>
    <row r="6" spans="1:15" x14ac:dyDescent="0.25">
      <c r="A6" s="108">
        <f>'Order Summary'!B6</f>
        <v>0</v>
      </c>
      <c r="B6" s="108"/>
      <c r="C6" s="108"/>
      <c r="D6" s="79"/>
      <c r="E6" s="79"/>
      <c r="F6" s="26"/>
      <c r="G6" s="26"/>
      <c r="H6" s="25"/>
      <c r="I6" s="79"/>
      <c r="J6" s="28" t="s">
        <v>5</v>
      </c>
      <c r="K6" s="28"/>
      <c r="L6" s="28"/>
      <c r="M6" s="28"/>
      <c r="N6" s="33">
        <f>'Order Summary'!$F6</f>
        <v>0</v>
      </c>
    </row>
    <row r="7" spans="1:15" ht="46.5" customHeight="1" x14ac:dyDescent="0.25">
      <c r="A7" s="107" t="s">
        <v>18</v>
      </c>
      <c r="B7" s="107"/>
      <c r="C7" s="107"/>
      <c r="D7" s="107"/>
      <c r="E7" s="32"/>
    </row>
    <row r="8" spans="1:15" ht="28.5" customHeight="1" x14ac:dyDescent="0.25"/>
    <row r="9" spans="1:15" x14ac:dyDescent="0.25">
      <c r="A9" s="14"/>
      <c r="B9" s="14"/>
      <c r="I9" s="14"/>
      <c r="J9" s="14"/>
      <c r="K9" s="14"/>
      <c r="L9" s="14"/>
      <c r="M9" s="14"/>
    </row>
    <row r="10" spans="1:15" x14ac:dyDescent="0.25">
      <c r="A10" s="116" t="s">
        <v>19</v>
      </c>
      <c r="B10" s="116" t="s">
        <v>4385</v>
      </c>
      <c r="C10" s="1" t="s">
        <v>20</v>
      </c>
      <c r="D10" s="1" t="s">
        <v>918</v>
      </c>
      <c r="E10" s="1" t="s">
        <v>919</v>
      </c>
      <c r="F10" s="1" t="s">
        <v>920</v>
      </c>
      <c r="G10" s="2" t="s">
        <v>21</v>
      </c>
      <c r="H10" s="2" t="s">
        <v>1717</v>
      </c>
      <c r="I10" s="3" t="s">
        <v>22</v>
      </c>
      <c r="J10" s="15" t="s">
        <v>23</v>
      </c>
      <c r="K10" s="15" t="s">
        <v>24</v>
      </c>
      <c r="L10" s="15" t="s">
        <v>4380</v>
      </c>
      <c r="M10" s="15" t="s">
        <v>6</v>
      </c>
      <c r="N10" s="15" t="s">
        <v>7</v>
      </c>
      <c r="O10"/>
    </row>
    <row r="11" spans="1:15" x14ac:dyDescent="0.25">
      <c r="A11" s="104">
        <v>449324</v>
      </c>
      <c r="B11" s="4" t="s">
        <v>1498</v>
      </c>
      <c r="C11" s="4" t="s">
        <v>1499</v>
      </c>
      <c r="D11" s="75" t="str">
        <f>_xlfn.XLOOKUP(B11,'Product Hierarchy'!A:A,'Product Hierarchy'!C:C)</f>
        <v>LEVEL5</v>
      </c>
      <c r="E11" s="75" t="str">
        <f>_xlfn.XLOOKUP(B11,'Product Hierarchy'!A:A,'Product Hierarchy'!E:E)</f>
        <v>Drywall Hand Tools</v>
      </c>
      <c r="F11" s="75" t="str">
        <f>_xlfn.XLOOKUP(B11,'Product Hierarchy'!A:A,'Product Hierarchy'!F:F)</f>
        <v>Rollers</v>
      </c>
      <c r="G11" s="76">
        <v>18.489999999999998</v>
      </c>
      <c r="H11" s="76">
        <v>16.64</v>
      </c>
      <c r="I11" s="6">
        <v>11.65</v>
      </c>
      <c r="J11" s="5" t="s">
        <v>26</v>
      </c>
      <c r="K11" s="5">
        <v>12</v>
      </c>
      <c r="L11" s="5">
        <v>48</v>
      </c>
      <c r="M11" s="45"/>
      <c r="N11" s="24">
        <f t="shared" ref="N11:N75" si="0">M11*I11</f>
        <v>0</v>
      </c>
      <c r="O11" s="97"/>
    </row>
    <row r="12" spans="1:15" x14ac:dyDescent="0.25">
      <c r="A12" s="104">
        <v>449325</v>
      </c>
      <c r="B12" s="4" t="s">
        <v>1500</v>
      </c>
      <c r="C12" s="4" t="s">
        <v>1501</v>
      </c>
      <c r="D12" s="75" t="str">
        <f>_xlfn.XLOOKUP(B12,'Product Hierarchy'!A:A,'Product Hierarchy'!C:C)</f>
        <v>LEVEL5</v>
      </c>
      <c r="E12" s="75" t="str">
        <f>_xlfn.XLOOKUP(B12,'Product Hierarchy'!A:A,'Product Hierarchy'!E:E)</f>
        <v>Drywall Hand Tools</v>
      </c>
      <c r="F12" s="75" t="str">
        <f>_xlfn.XLOOKUP(B12,'Product Hierarchy'!A:A,'Product Hierarchy'!F:F)</f>
        <v>Rollers</v>
      </c>
      <c r="G12" s="76">
        <v>21.99</v>
      </c>
      <c r="H12" s="76">
        <v>19.79</v>
      </c>
      <c r="I12" s="6">
        <v>13.85</v>
      </c>
      <c r="J12" s="5" t="s">
        <v>26</v>
      </c>
      <c r="K12" s="5">
        <v>6</v>
      </c>
      <c r="L12" s="5">
        <v>24</v>
      </c>
      <c r="M12" s="45"/>
      <c r="N12" s="24">
        <f t="shared" si="0"/>
        <v>0</v>
      </c>
      <c r="O12" s="97"/>
    </row>
    <row r="13" spans="1:15" x14ac:dyDescent="0.25">
      <c r="A13" s="104">
        <v>449326</v>
      </c>
      <c r="B13" s="4" t="s">
        <v>1502</v>
      </c>
      <c r="C13" s="4" t="s">
        <v>1503</v>
      </c>
      <c r="D13" s="75" t="str">
        <f>_xlfn.XLOOKUP(B13,'Product Hierarchy'!A:A,'Product Hierarchy'!C:C)</f>
        <v>LEVEL5</v>
      </c>
      <c r="E13" s="75" t="str">
        <f>_xlfn.XLOOKUP(B13,'Product Hierarchy'!A:A,'Product Hierarchy'!E:E)</f>
        <v>Drywall Hand Tools</v>
      </c>
      <c r="F13" s="75" t="str">
        <f>_xlfn.XLOOKUP(B13,'Product Hierarchy'!A:A,'Product Hierarchy'!F:F)</f>
        <v>Rollers</v>
      </c>
      <c r="G13" s="76">
        <v>12.99</v>
      </c>
      <c r="H13" s="76">
        <v>11.69</v>
      </c>
      <c r="I13" s="6">
        <v>8.18</v>
      </c>
      <c r="J13" s="5" t="s">
        <v>26</v>
      </c>
      <c r="K13" s="5">
        <v>6</v>
      </c>
      <c r="L13" s="5">
        <v>24</v>
      </c>
      <c r="M13" s="45"/>
      <c r="N13" s="24">
        <f t="shared" si="0"/>
        <v>0</v>
      </c>
      <c r="O13" s="97"/>
    </row>
    <row r="14" spans="1:15" x14ac:dyDescent="0.25">
      <c r="A14" s="104">
        <v>449327</v>
      </c>
      <c r="B14" s="4" t="s">
        <v>1504</v>
      </c>
      <c r="C14" s="4" t="s">
        <v>1505</v>
      </c>
      <c r="D14" s="75" t="str">
        <f>_xlfn.XLOOKUP(B14,'Product Hierarchy'!A:A,'Product Hierarchy'!C:C)</f>
        <v>LEVEL5</v>
      </c>
      <c r="E14" s="75" t="str">
        <f>_xlfn.XLOOKUP(B14,'Product Hierarchy'!A:A,'Product Hierarchy'!E:E)</f>
        <v>Drywall Hand Tools</v>
      </c>
      <c r="F14" s="75" t="str">
        <f>_xlfn.XLOOKUP(B14,'Product Hierarchy'!A:A,'Product Hierarchy'!F:F)</f>
        <v>Rollers</v>
      </c>
      <c r="G14" s="76">
        <v>12.99</v>
      </c>
      <c r="H14" s="76">
        <v>11.69</v>
      </c>
      <c r="I14" s="6">
        <v>8.18</v>
      </c>
      <c r="J14" s="5" t="s">
        <v>26</v>
      </c>
      <c r="K14" s="5">
        <v>6</v>
      </c>
      <c r="L14" s="5">
        <v>24</v>
      </c>
      <c r="M14" s="45"/>
      <c r="N14" s="24">
        <f t="shared" si="0"/>
        <v>0</v>
      </c>
      <c r="O14" s="97"/>
    </row>
    <row r="15" spans="1:15" x14ac:dyDescent="0.25">
      <c r="A15" s="104">
        <v>449328</v>
      </c>
      <c r="B15" s="4" t="s">
        <v>1506</v>
      </c>
      <c r="C15" s="4" t="s">
        <v>1507</v>
      </c>
      <c r="D15" s="75" t="str">
        <f>_xlfn.XLOOKUP(B15,'Product Hierarchy'!A:A,'Product Hierarchy'!C:C)</f>
        <v>LEVEL5</v>
      </c>
      <c r="E15" s="75" t="str">
        <f>_xlfn.XLOOKUP(B15,'Product Hierarchy'!A:A,'Product Hierarchy'!E:E)</f>
        <v>Drywall Hand Tools</v>
      </c>
      <c r="F15" s="75" t="str">
        <f>_xlfn.XLOOKUP(B15,'Product Hierarchy'!A:A,'Product Hierarchy'!F:F)</f>
        <v>Rollers</v>
      </c>
      <c r="G15" s="76">
        <v>31.479999999999997</v>
      </c>
      <c r="H15" s="76">
        <v>28.33</v>
      </c>
      <c r="I15" s="6">
        <v>19.829999999999998</v>
      </c>
      <c r="J15" s="5" t="s">
        <v>26</v>
      </c>
      <c r="K15" s="5">
        <v>6</v>
      </c>
      <c r="L15" s="5">
        <v>24</v>
      </c>
      <c r="M15" s="45"/>
      <c r="N15" s="24">
        <f t="shared" si="0"/>
        <v>0</v>
      </c>
      <c r="O15" s="97"/>
    </row>
    <row r="16" spans="1:15" x14ac:dyDescent="0.25">
      <c r="A16" s="104">
        <v>449329</v>
      </c>
      <c r="B16" s="4" t="s">
        <v>1508</v>
      </c>
      <c r="C16" s="4" t="s">
        <v>1509</v>
      </c>
      <c r="D16" s="75" t="str">
        <f>_xlfn.XLOOKUP(B16,'Product Hierarchy'!A:A,'Product Hierarchy'!C:C)</f>
        <v>LEVEL5</v>
      </c>
      <c r="E16" s="75" t="str">
        <f>_xlfn.XLOOKUP(B16,'Product Hierarchy'!A:A,'Product Hierarchy'!E:E)</f>
        <v>Drywall Hand Tools</v>
      </c>
      <c r="F16" s="75" t="str">
        <f>_xlfn.XLOOKUP(B16,'Product Hierarchy'!A:A,'Product Hierarchy'!F:F)</f>
        <v>Rollers</v>
      </c>
      <c r="G16" s="76">
        <v>34.979999999999997</v>
      </c>
      <c r="H16" s="76">
        <v>31.48</v>
      </c>
      <c r="I16" s="6">
        <v>22.04</v>
      </c>
      <c r="J16" s="5" t="s">
        <v>26</v>
      </c>
      <c r="K16" s="5">
        <v>6</v>
      </c>
      <c r="L16" s="5">
        <v>24</v>
      </c>
      <c r="M16" s="45"/>
      <c r="N16" s="24">
        <f t="shared" si="0"/>
        <v>0</v>
      </c>
      <c r="O16" s="97"/>
    </row>
    <row r="17" spans="1:15" x14ac:dyDescent="0.25">
      <c r="A17" s="104">
        <v>449330</v>
      </c>
      <c r="B17" s="4" t="s">
        <v>1510</v>
      </c>
      <c r="C17" s="4" t="s">
        <v>1511</v>
      </c>
      <c r="D17" s="75" t="str">
        <f>_xlfn.XLOOKUP(B17,'Product Hierarchy'!A:A,'Product Hierarchy'!C:C)</f>
        <v>LEVEL5</v>
      </c>
      <c r="E17" s="75" t="str">
        <f>_xlfn.XLOOKUP(B17,'Product Hierarchy'!A:A,'Product Hierarchy'!E:E)</f>
        <v>Drywall Hand Tools</v>
      </c>
      <c r="F17" s="75" t="str">
        <f>_xlfn.XLOOKUP(B17,'Product Hierarchy'!A:A,'Product Hierarchy'!F:F)</f>
        <v>Rollers</v>
      </c>
      <c r="G17" s="76">
        <v>55.47</v>
      </c>
      <c r="H17" s="76">
        <v>49.92</v>
      </c>
      <c r="I17" s="6">
        <v>34.94</v>
      </c>
      <c r="J17" s="5" t="s">
        <v>26</v>
      </c>
      <c r="K17" s="5">
        <v>1</v>
      </c>
      <c r="L17" s="5">
        <v>1</v>
      </c>
      <c r="M17" s="45"/>
      <c r="N17" s="24">
        <f t="shared" si="0"/>
        <v>0</v>
      </c>
      <c r="O17" s="97"/>
    </row>
    <row r="18" spans="1:15" x14ac:dyDescent="0.25">
      <c r="A18" s="104">
        <v>449331</v>
      </c>
      <c r="B18" s="4" t="s">
        <v>1512</v>
      </c>
      <c r="C18" s="4" t="s">
        <v>1513</v>
      </c>
      <c r="D18" s="75" t="str">
        <f>_xlfn.XLOOKUP(B18,'Product Hierarchy'!A:A,'Product Hierarchy'!C:C)</f>
        <v>LEVEL5</v>
      </c>
      <c r="E18" s="75" t="str">
        <f>_xlfn.XLOOKUP(B18,'Product Hierarchy'!A:A,'Product Hierarchy'!E:E)</f>
        <v>Drywall Hand Tools</v>
      </c>
      <c r="F18" s="75" t="str">
        <f>_xlfn.XLOOKUP(B18,'Product Hierarchy'!A:A,'Product Hierarchy'!F:F)</f>
        <v>Rollers</v>
      </c>
      <c r="G18" s="76">
        <v>65.97</v>
      </c>
      <c r="H18" s="76">
        <v>59.37</v>
      </c>
      <c r="I18" s="6">
        <v>41.56</v>
      </c>
      <c r="J18" s="5" t="s">
        <v>26</v>
      </c>
      <c r="K18" s="5">
        <v>1</v>
      </c>
      <c r="L18" s="5">
        <v>1</v>
      </c>
      <c r="M18" s="45"/>
      <c r="N18" s="24">
        <f t="shared" si="0"/>
        <v>0</v>
      </c>
      <c r="O18" s="97"/>
    </row>
    <row r="19" spans="1:15" x14ac:dyDescent="0.25">
      <c r="A19" s="104">
        <v>449332</v>
      </c>
      <c r="B19" s="4" t="s">
        <v>1514</v>
      </c>
      <c r="C19" s="4" t="s">
        <v>1515</v>
      </c>
      <c r="D19" s="75" t="str">
        <f>_xlfn.XLOOKUP(B19,'Product Hierarchy'!A:A,'Product Hierarchy'!C:C)</f>
        <v>LEVEL5</v>
      </c>
      <c r="E19" s="75" t="str">
        <f>_xlfn.XLOOKUP(B19,'Product Hierarchy'!A:A,'Product Hierarchy'!E:E)</f>
        <v>Drywall Hand Tools</v>
      </c>
      <c r="F19" s="75" t="str">
        <f>_xlfn.XLOOKUP(B19,'Product Hierarchy'!A:A,'Product Hierarchy'!F:F)</f>
        <v>Rollers</v>
      </c>
      <c r="G19" s="76">
        <v>62.97</v>
      </c>
      <c r="H19" s="76">
        <v>56.67</v>
      </c>
      <c r="I19" s="6">
        <v>39.67</v>
      </c>
      <c r="J19" s="5" t="s">
        <v>26</v>
      </c>
      <c r="K19" s="5">
        <v>1</v>
      </c>
      <c r="L19" s="5">
        <v>1</v>
      </c>
      <c r="M19" s="45"/>
      <c r="N19" s="24">
        <f t="shared" si="0"/>
        <v>0</v>
      </c>
      <c r="O19" s="97"/>
    </row>
    <row r="20" spans="1:15" x14ac:dyDescent="0.25">
      <c r="A20" s="104">
        <v>449333</v>
      </c>
      <c r="B20" s="4" t="s">
        <v>1516</v>
      </c>
      <c r="C20" s="4" t="s">
        <v>1517</v>
      </c>
      <c r="D20" s="75" t="str">
        <f>_xlfn.XLOOKUP(B20,'Product Hierarchy'!A:A,'Product Hierarchy'!C:C)</f>
        <v>LEVEL5</v>
      </c>
      <c r="E20" s="75" t="str">
        <f>_xlfn.XLOOKUP(B20,'Product Hierarchy'!A:A,'Product Hierarchy'!E:E)</f>
        <v>Drywall Hand Tools</v>
      </c>
      <c r="F20" s="75" t="str">
        <f>_xlfn.XLOOKUP(B20,'Product Hierarchy'!A:A,'Product Hierarchy'!F:F)</f>
        <v>Rollers</v>
      </c>
      <c r="G20" s="76">
        <v>68.97</v>
      </c>
      <c r="H20" s="76">
        <v>62.07</v>
      </c>
      <c r="I20" s="6">
        <v>43.45</v>
      </c>
      <c r="J20" s="5" t="s">
        <v>26</v>
      </c>
      <c r="K20" s="5">
        <v>1</v>
      </c>
      <c r="L20" s="5">
        <v>1</v>
      </c>
      <c r="M20" s="45"/>
      <c r="N20" s="24">
        <f t="shared" si="0"/>
        <v>0</v>
      </c>
      <c r="O20" s="97"/>
    </row>
    <row r="21" spans="1:15" x14ac:dyDescent="0.25">
      <c r="A21" s="104">
        <v>449384</v>
      </c>
      <c r="B21" s="4" t="s">
        <v>299</v>
      </c>
      <c r="C21" s="4" t="s">
        <v>300</v>
      </c>
      <c r="D21" s="75" t="str">
        <f>_xlfn.XLOOKUP(B21,'Product Hierarchy'!A:A,'Product Hierarchy'!C:C)</f>
        <v>LEVEL5</v>
      </c>
      <c r="E21" s="75" t="str">
        <f>_xlfn.XLOOKUP(B21,'Product Hierarchy'!A:A,'Product Hierarchy'!E:E)</f>
        <v>Drywall Auto Tools</v>
      </c>
      <c r="F21" s="75" t="str">
        <f>_xlfn.XLOOKUP(B21,'Product Hierarchy'!A:A,'Product Hierarchy'!F:F)</f>
        <v>Auto Tool Sets</v>
      </c>
      <c r="G21" s="76">
        <v>4813.38</v>
      </c>
      <c r="H21" s="76">
        <v>3850.7</v>
      </c>
      <c r="I21" s="6">
        <v>2695.49</v>
      </c>
      <c r="J21" s="5" t="s">
        <v>26</v>
      </c>
      <c r="K21" s="5">
        <v>1</v>
      </c>
      <c r="L21" s="5">
        <v>1</v>
      </c>
      <c r="M21" s="45"/>
      <c r="N21" s="24">
        <f t="shared" si="0"/>
        <v>0</v>
      </c>
      <c r="O21" s="97"/>
    </row>
    <row r="22" spans="1:15" x14ac:dyDescent="0.25">
      <c r="A22" s="104">
        <v>449386</v>
      </c>
      <c r="B22" s="4" t="s">
        <v>301</v>
      </c>
      <c r="C22" s="4" t="s">
        <v>302</v>
      </c>
      <c r="D22" s="75" t="str">
        <f>_xlfn.XLOOKUP(B22,'Product Hierarchy'!A:A,'Product Hierarchy'!C:C)</f>
        <v>LEVEL5</v>
      </c>
      <c r="E22" s="75" t="str">
        <f>_xlfn.XLOOKUP(B22,'Product Hierarchy'!A:A,'Product Hierarchy'!E:E)</f>
        <v>Drywall Auto Tools</v>
      </c>
      <c r="F22" s="75" t="str">
        <f>_xlfn.XLOOKUP(B22,'Product Hierarchy'!A:A,'Product Hierarchy'!F:F)</f>
        <v>Auto Tool Sets</v>
      </c>
      <c r="G22" s="76">
        <v>5265.85</v>
      </c>
      <c r="H22" s="76">
        <v>4212.68</v>
      </c>
      <c r="I22" s="6">
        <v>2948.88</v>
      </c>
      <c r="J22" s="5" t="s">
        <v>26</v>
      </c>
      <c r="K22" s="5">
        <v>1</v>
      </c>
      <c r="L22" s="5">
        <v>1</v>
      </c>
      <c r="M22" s="45"/>
      <c r="N22" s="24">
        <f t="shared" si="0"/>
        <v>0</v>
      </c>
      <c r="O22" s="97"/>
    </row>
    <row r="23" spans="1:15" x14ac:dyDescent="0.25">
      <c r="A23" s="104">
        <v>449387</v>
      </c>
      <c r="B23" s="4" t="s">
        <v>1709</v>
      </c>
      <c r="C23" s="4" t="s">
        <v>4382</v>
      </c>
      <c r="D23" s="75" t="str">
        <f>_xlfn.XLOOKUP(B23,'Product Hierarchy'!A:A,'Product Hierarchy'!C:C)</f>
        <v>LEVEL5</v>
      </c>
      <c r="E23" s="75" t="str">
        <f>_xlfn.XLOOKUP(B23,'Product Hierarchy'!A:A,'Product Hierarchy'!E:E)</f>
        <v>Drywall Auto Tools</v>
      </c>
      <c r="F23" s="75" t="str">
        <f>_xlfn.XLOOKUP(B23,'Product Hierarchy'!A:A,'Product Hierarchy'!F:F)</f>
        <v>Auto Tool Sets</v>
      </c>
      <c r="G23" s="76">
        <v>2994.3999999999996</v>
      </c>
      <c r="H23" s="76">
        <v>2395.52</v>
      </c>
      <c r="I23" s="6">
        <v>1676.86</v>
      </c>
      <c r="J23" s="5" t="s">
        <v>26</v>
      </c>
      <c r="K23" s="5">
        <v>1</v>
      </c>
      <c r="L23" s="5">
        <v>1</v>
      </c>
      <c r="M23" s="45"/>
      <c r="N23" s="24">
        <f t="shared" si="0"/>
        <v>0</v>
      </c>
      <c r="O23" s="97"/>
    </row>
    <row r="24" spans="1:15" x14ac:dyDescent="0.25">
      <c r="A24" s="104">
        <v>449390</v>
      </c>
      <c r="B24" s="4" t="s">
        <v>305</v>
      </c>
      <c r="C24" s="4" t="s">
        <v>306</v>
      </c>
      <c r="D24" s="75" t="str">
        <f>_xlfn.XLOOKUP(B24,'Product Hierarchy'!A:A,'Product Hierarchy'!C:C)</f>
        <v>LEVEL5</v>
      </c>
      <c r="E24" s="75" t="str">
        <f>_xlfn.XLOOKUP(B24,'Product Hierarchy'!A:A,'Product Hierarchy'!E:E)</f>
        <v>Drywall Auto Tools</v>
      </c>
      <c r="F24" s="75" t="str">
        <f>_xlfn.XLOOKUP(B24,'Product Hierarchy'!A:A,'Product Hierarchy'!F:F)</f>
        <v>Auto Tool Sets</v>
      </c>
      <c r="G24" s="76">
        <v>1675.46</v>
      </c>
      <c r="H24" s="76">
        <v>1340.37</v>
      </c>
      <c r="I24" s="6">
        <v>938.26</v>
      </c>
      <c r="J24" s="5" t="s">
        <v>26</v>
      </c>
      <c r="K24" s="5">
        <v>1</v>
      </c>
      <c r="L24" s="5">
        <v>1</v>
      </c>
      <c r="M24" s="45"/>
      <c r="N24" s="24">
        <f t="shared" si="0"/>
        <v>0</v>
      </c>
      <c r="O24" s="97"/>
    </row>
    <row r="25" spans="1:15" x14ac:dyDescent="0.25">
      <c r="A25" s="104">
        <v>449391</v>
      </c>
      <c r="B25" s="4" t="s">
        <v>303</v>
      </c>
      <c r="C25" s="4" t="s">
        <v>304</v>
      </c>
      <c r="D25" s="75" t="str">
        <f>_xlfn.XLOOKUP(B25,'Product Hierarchy'!A:A,'Product Hierarchy'!C:C)</f>
        <v>LEVEL5</v>
      </c>
      <c r="E25" s="75" t="str">
        <f>_xlfn.XLOOKUP(B25,'Product Hierarchy'!A:A,'Product Hierarchy'!E:E)</f>
        <v>Drywall Auto Tools</v>
      </c>
      <c r="F25" s="75" t="str">
        <f>_xlfn.XLOOKUP(B25,'Product Hierarchy'!A:A,'Product Hierarchy'!F:F)</f>
        <v>Auto Tool Sets</v>
      </c>
      <c r="G25" s="76">
        <v>1816.46</v>
      </c>
      <c r="H25" s="76">
        <v>1453.17</v>
      </c>
      <c r="I25" s="6">
        <v>1017.22</v>
      </c>
      <c r="J25" s="5" t="s">
        <v>26</v>
      </c>
      <c r="K25" s="5">
        <v>1</v>
      </c>
      <c r="L25" s="5">
        <v>1</v>
      </c>
      <c r="M25" s="45"/>
      <c r="N25" s="24">
        <f t="shared" si="0"/>
        <v>0</v>
      </c>
      <c r="O25" s="97"/>
    </row>
    <row r="26" spans="1:15" x14ac:dyDescent="0.25">
      <c r="A26" s="104">
        <v>449410</v>
      </c>
      <c r="B26" s="4" t="s">
        <v>1706</v>
      </c>
      <c r="C26" s="4" t="s">
        <v>4383</v>
      </c>
      <c r="D26" s="75" t="str">
        <f>_xlfn.XLOOKUP(B26,'Product Hierarchy'!A:A,'Product Hierarchy'!C:C)</f>
        <v>LEVEL5</v>
      </c>
      <c r="E26" s="75" t="str">
        <f>_xlfn.XLOOKUP(B26,'Product Hierarchy'!A:A,'Product Hierarchy'!E:E)</f>
        <v>Drywall Auto Tools</v>
      </c>
      <c r="F26" s="75" t="str">
        <f>_xlfn.XLOOKUP(B26,'Product Hierarchy'!A:A,'Product Hierarchy'!F:F)</f>
        <v>Auto Tool Sets</v>
      </c>
      <c r="G26" s="76">
        <v>7370.28</v>
      </c>
      <c r="H26" s="76">
        <v>5896.22</v>
      </c>
      <c r="I26" s="6">
        <v>4127.3500000000004</v>
      </c>
      <c r="J26" s="5" t="s">
        <v>26</v>
      </c>
      <c r="K26" s="5">
        <v>1</v>
      </c>
      <c r="L26" s="5">
        <v>1</v>
      </c>
      <c r="M26" s="45"/>
      <c r="N26" s="24">
        <f t="shared" si="0"/>
        <v>0</v>
      </c>
      <c r="O26" s="97"/>
    </row>
    <row r="27" spans="1:15" x14ac:dyDescent="0.25">
      <c r="A27" s="104">
        <v>449429</v>
      </c>
      <c r="B27" s="4" t="s">
        <v>1708</v>
      </c>
      <c r="C27" s="4" t="s">
        <v>2121</v>
      </c>
      <c r="D27" s="75" t="str">
        <f>_xlfn.XLOOKUP(B27,'Product Hierarchy'!A:A,'Product Hierarchy'!C:C)</f>
        <v>LEVEL5</v>
      </c>
      <c r="E27" s="75" t="str">
        <f>_xlfn.XLOOKUP(B27,'Product Hierarchy'!A:A,'Product Hierarchy'!E:E)</f>
        <v>Drywall Auto Tools</v>
      </c>
      <c r="F27" s="75" t="str">
        <f>_xlfn.XLOOKUP(B27,'Product Hierarchy'!A:A,'Product Hierarchy'!F:F)</f>
        <v>Auto Tool Sets</v>
      </c>
      <c r="G27" s="76">
        <v>2638.95</v>
      </c>
      <c r="H27" s="76">
        <v>2111.16</v>
      </c>
      <c r="I27" s="6">
        <v>1477.81</v>
      </c>
      <c r="J27" s="5" t="s">
        <v>26</v>
      </c>
      <c r="K27" s="5">
        <v>1</v>
      </c>
      <c r="L27" s="5">
        <v>1</v>
      </c>
      <c r="M27" s="45"/>
      <c r="N27" s="24">
        <f t="shared" si="0"/>
        <v>0</v>
      </c>
      <c r="O27" s="97"/>
    </row>
    <row r="28" spans="1:15" x14ac:dyDescent="0.25">
      <c r="A28" s="104">
        <v>449432</v>
      </c>
      <c r="B28" s="4" t="s">
        <v>864</v>
      </c>
      <c r="C28" s="75" t="s">
        <v>865</v>
      </c>
      <c r="D28" s="75" t="str">
        <f>_xlfn.XLOOKUP(B28,'Product Hierarchy'!A:A,'Product Hierarchy'!C:C)</f>
        <v>LEVEL5</v>
      </c>
      <c r="E28" s="75" t="str">
        <f>_xlfn.XLOOKUP(B28,'Product Hierarchy'!A:A,'Product Hierarchy'!E:E)</f>
        <v>Drywall Semi Auto Tools</v>
      </c>
      <c r="F28" s="75" t="str">
        <f>_xlfn.XLOOKUP(B28,'Product Hierarchy'!A:A,'Product Hierarchy'!F:F)</f>
        <v>Banjo Sets</v>
      </c>
      <c r="G28" s="76">
        <v>1959.91</v>
      </c>
      <c r="H28" s="76">
        <v>1665.92</v>
      </c>
      <c r="I28" s="6">
        <v>1166.1400000000001</v>
      </c>
      <c r="J28" s="5" t="s">
        <v>26</v>
      </c>
      <c r="K28" s="5">
        <v>1</v>
      </c>
      <c r="L28" s="5">
        <v>1</v>
      </c>
      <c r="M28" s="45"/>
      <c r="N28" s="24">
        <f t="shared" si="0"/>
        <v>0</v>
      </c>
      <c r="O28" s="97"/>
    </row>
    <row r="29" spans="1:15" x14ac:dyDescent="0.25">
      <c r="A29" s="104">
        <v>449433</v>
      </c>
      <c r="B29" s="4" t="s">
        <v>1707</v>
      </c>
      <c r="C29" s="4" t="s">
        <v>2126</v>
      </c>
      <c r="D29" s="75" t="str">
        <f>_xlfn.XLOOKUP(B29,'Product Hierarchy'!A:A,'Product Hierarchy'!C:C)</f>
        <v>LEVEL5</v>
      </c>
      <c r="E29" s="75" t="str">
        <f>_xlfn.XLOOKUP(B29,'Product Hierarchy'!A:A,'Product Hierarchy'!E:E)</f>
        <v>Drywall Auto Tools</v>
      </c>
      <c r="F29" s="75" t="str">
        <f>_xlfn.XLOOKUP(B29,'Product Hierarchy'!A:A,'Product Hierarchy'!F:F)</f>
        <v>Auto Tool Sets</v>
      </c>
      <c r="G29" s="76">
        <v>5468.8899999999985</v>
      </c>
      <c r="H29" s="76">
        <v>4375.1099999999997</v>
      </c>
      <c r="I29" s="6">
        <v>3062.58</v>
      </c>
      <c r="J29" s="5" t="s">
        <v>26</v>
      </c>
      <c r="K29" s="5">
        <v>1</v>
      </c>
      <c r="L29" s="5">
        <v>1</v>
      </c>
      <c r="M29" s="45"/>
      <c r="N29" s="24">
        <f t="shared" si="0"/>
        <v>0</v>
      </c>
      <c r="O29" s="97"/>
    </row>
    <row r="30" spans="1:15" x14ac:dyDescent="0.25">
      <c r="A30" s="104">
        <v>449447</v>
      </c>
      <c r="B30" s="4" t="s">
        <v>1705</v>
      </c>
      <c r="C30" s="4" t="s">
        <v>2153</v>
      </c>
      <c r="D30" s="75" t="str">
        <f>_xlfn.XLOOKUP(B30,'Product Hierarchy'!A:A,'Product Hierarchy'!C:C)</f>
        <v>LEVEL5</v>
      </c>
      <c r="E30" s="75" t="str">
        <f>_xlfn.XLOOKUP(B30,'Product Hierarchy'!A:A,'Product Hierarchy'!E:E)</f>
        <v>Drywall Auto Tools</v>
      </c>
      <c r="F30" s="75" t="str">
        <f>_xlfn.XLOOKUP(B30,'Product Hierarchy'!A:A,'Product Hierarchy'!F:F)</f>
        <v>Auto Tool Sets</v>
      </c>
      <c r="G30" s="76">
        <v>7928.2999999999984</v>
      </c>
      <c r="H30" s="76">
        <v>6342.64</v>
      </c>
      <c r="I30" s="6">
        <v>4439.8500000000004</v>
      </c>
      <c r="J30" s="5" t="s">
        <v>26</v>
      </c>
      <c r="K30" s="5">
        <v>1</v>
      </c>
      <c r="L30" s="5">
        <v>1</v>
      </c>
      <c r="M30" s="45"/>
      <c r="N30" s="24">
        <f t="shared" si="0"/>
        <v>0</v>
      </c>
      <c r="O30" s="97"/>
    </row>
    <row r="31" spans="1:15" x14ac:dyDescent="0.25">
      <c r="A31" s="104">
        <v>449457</v>
      </c>
      <c r="B31" s="4" t="s">
        <v>196</v>
      </c>
      <c r="C31" s="4" t="s">
        <v>846</v>
      </c>
      <c r="D31" s="75" t="str">
        <f>_xlfn.XLOOKUP(B31,'Product Hierarchy'!A:A,'Product Hierarchy'!C:C)</f>
        <v>LEVEL5</v>
      </c>
      <c r="E31" s="75" t="str">
        <f>_xlfn.XLOOKUP(B31,'Product Hierarchy'!A:A,'Product Hierarchy'!E:E)</f>
        <v>Drywall Auto Tools</v>
      </c>
      <c r="F31" s="75" t="str">
        <f>_xlfn.XLOOKUP(B31,'Product Hierarchy'!A:A,'Product Hierarchy'!F:F)</f>
        <v>Applicator Boxes</v>
      </c>
      <c r="G31" s="76">
        <v>335.99</v>
      </c>
      <c r="H31" s="76">
        <v>285.58999999999997</v>
      </c>
      <c r="I31" s="6">
        <v>199.91</v>
      </c>
      <c r="J31" s="5" t="s">
        <v>26</v>
      </c>
      <c r="K31" s="5">
        <v>1</v>
      </c>
      <c r="L31" s="5">
        <v>10</v>
      </c>
      <c r="M31" s="43"/>
      <c r="N31" s="24">
        <f t="shared" si="0"/>
        <v>0</v>
      </c>
      <c r="O31" s="97"/>
    </row>
    <row r="32" spans="1:15" x14ac:dyDescent="0.25">
      <c r="A32" s="104">
        <v>450999</v>
      </c>
      <c r="B32" s="4" t="s">
        <v>1364</v>
      </c>
      <c r="C32" s="4" t="s">
        <v>1365</v>
      </c>
      <c r="D32" s="75" t="str">
        <f>_xlfn.XLOOKUP(B32,'Product Hierarchy'!A:A,'Product Hierarchy'!C:C)</f>
        <v>LEVEL5</v>
      </c>
      <c r="E32" s="75" t="str">
        <f>_xlfn.XLOOKUP(B32,'Product Hierarchy'!A:A,'Product Hierarchy'!E:E)</f>
        <v>Drywall Auto Tools</v>
      </c>
      <c r="F32" s="75" t="str">
        <f>_xlfn.XLOOKUP(B32,'Product Hierarchy'!A:A,'Product Hierarchy'!F:F)</f>
        <v>Storage</v>
      </c>
      <c r="G32" s="76">
        <v>66.989999999999995</v>
      </c>
      <c r="H32" s="76">
        <v>56.94</v>
      </c>
      <c r="I32" s="6">
        <v>39.86</v>
      </c>
      <c r="J32" s="5" t="s">
        <v>26</v>
      </c>
      <c r="K32" s="5">
        <v>1</v>
      </c>
      <c r="L32" s="5">
        <v>10</v>
      </c>
      <c r="M32" s="45"/>
      <c r="N32" s="24">
        <f t="shared" si="0"/>
        <v>0</v>
      </c>
      <c r="O32" s="97"/>
    </row>
    <row r="33" spans="1:15" x14ac:dyDescent="0.25">
      <c r="A33" s="104">
        <v>449461</v>
      </c>
      <c r="B33" s="4" t="s">
        <v>197</v>
      </c>
      <c r="C33" s="4" t="s">
        <v>847</v>
      </c>
      <c r="D33" s="75" t="str">
        <f>_xlfn.XLOOKUP(B33,'Product Hierarchy'!A:A,'Product Hierarchy'!C:C)</f>
        <v>LEVEL5</v>
      </c>
      <c r="E33" s="75" t="str">
        <f>_xlfn.XLOOKUP(B33,'Product Hierarchy'!A:A,'Product Hierarchy'!E:E)</f>
        <v>Drywall Auto Tools</v>
      </c>
      <c r="F33" s="75" t="str">
        <f>_xlfn.XLOOKUP(B33,'Product Hierarchy'!A:A,'Product Hierarchy'!F:F)</f>
        <v>Applicator Boxes</v>
      </c>
      <c r="G33" s="76">
        <v>346.49</v>
      </c>
      <c r="H33" s="76">
        <v>294.52</v>
      </c>
      <c r="I33" s="6">
        <v>206.16</v>
      </c>
      <c r="J33" s="5" t="s">
        <v>26</v>
      </c>
      <c r="K33" s="5">
        <v>1</v>
      </c>
      <c r="L33" s="5">
        <v>10</v>
      </c>
      <c r="M33" s="43"/>
      <c r="N33" s="24">
        <f t="shared" si="0"/>
        <v>0</v>
      </c>
      <c r="O33" s="97"/>
    </row>
    <row r="34" spans="1:15" x14ac:dyDescent="0.25">
      <c r="A34" s="104">
        <v>451000</v>
      </c>
      <c r="B34" s="4" t="s">
        <v>1367</v>
      </c>
      <c r="C34" s="4" t="s">
        <v>1368</v>
      </c>
      <c r="D34" s="75" t="str">
        <f>_xlfn.XLOOKUP(B34,'Product Hierarchy'!A:A,'Product Hierarchy'!C:C)</f>
        <v>LEVEL5</v>
      </c>
      <c r="E34" s="75" t="str">
        <f>_xlfn.XLOOKUP(B34,'Product Hierarchy'!A:A,'Product Hierarchy'!E:E)</f>
        <v>Drywall Auto Tools</v>
      </c>
      <c r="F34" s="75" t="str">
        <f>_xlfn.XLOOKUP(B34,'Product Hierarchy'!A:A,'Product Hierarchy'!F:F)</f>
        <v>Storage</v>
      </c>
      <c r="G34" s="76">
        <v>66.989999999999995</v>
      </c>
      <c r="H34" s="76">
        <v>56.94</v>
      </c>
      <c r="I34" s="6">
        <v>39.86</v>
      </c>
      <c r="J34" s="5" t="s">
        <v>26</v>
      </c>
      <c r="K34" s="5">
        <v>1</v>
      </c>
      <c r="L34" s="5">
        <v>10</v>
      </c>
      <c r="M34" s="45"/>
      <c r="N34" s="24">
        <f t="shared" si="0"/>
        <v>0</v>
      </c>
      <c r="O34" s="97"/>
    </row>
    <row r="35" spans="1:15" x14ac:dyDescent="0.25">
      <c r="A35" s="104">
        <v>449465</v>
      </c>
      <c r="B35" s="4" t="s">
        <v>198</v>
      </c>
      <c r="C35" s="4" t="s">
        <v>848</v>
      </c>
      <c r="D35" s="75" t="str">
        <f>_xlfn.XLOOKUP(B35,'Product Hierarchy'!A:A,'Product Hierarchy'!C:C)</f>
        <v>LEVEL5</v>
      </c>
      <c r="E35" s="75" t="str">
        <f>_xlfn.XLOOKUP(B35,'Product Hierarchy'!A:A,'Product Hierarchy'!E:E)</f>
        <v>Drywall Auto Tools</v>
      </c>
      <c r="F35" s="75" t="str">
        <f>_xlfn.XLOOKUP(B35,'Product Hierarchy'!A:A,'Product Hierarchy'!F:F)</f>
        <v>Inside Corner Rollers</v>
      </c>
      <c r="G35" s="76">
        <v>178.99</v>
      </c>
      <c r="H35" s="76">
        <v>152.13999999999999</v>
      </c>
      <c r="I35" s="6">
        <v>106.5</v>
      </c>
      <c r="J35" s="5" t="s">
        <v>26</v>
      </c>
      <c r="K35" s="5">
        <v>1</v>
      </c>
      <c r="L35" s="5">
        <v>10</v>
      </c>
      <c r="M35" s="43"/>
      <c r="N35" s="24">
        <f t="shared" si="0"/>
        <v>0</v>
      </c>
      <c r="O35" s="97"/>
    </row>
    <row r="36" spans="1:15" x14ac:dyDescent="0.25">
      <c r="A36" s="104">
        <v>450985</v>
      </c>
      <c r="B36" s="4" t="s">
        <v>1369</v>
      </c>
      <c r="C36" s="4" t="s">
        <v>1370</v>
      </c>
      <c r="D36" s="75" t="str">
        <f>_xlfn.XLOOKUP(B36,'Product Hierarchy'!A:A,'Product Hierarchy'!C:C)</f>
        <v>LEVEL5</v>
      </c>
      <c r="E36" s="75" t="str">
        <f>_xlfn.XLOOKUP(B36,'Product Hierarchy'!A:A,'Product Hierarchy'!E:E)</f>
        <v>Drywall Auto Tools</v>
      </c>
      <c r="F36" s="75" t="str">
        <f>_xlfn.XLOOKUP(B36,'Product Hierarchy'!A:A,'Product Hierarchy'!F:F)</f>
        <v>Storage</v>
      </c>
      <c r="G36" s="76">
        <v>39.99</v>
      </c>
      <c r="H36" s="76">
        <v>33.99</v>
      </c>
      <c r="I36" s="6">
        <v>23.79</v>
      </c>
      <c r="J36" s="5" t="s">
        <v>26</v>
      </c>
      <c r="K36" s="5">
        <v>1</v>
      </c>
      <c r="L36" s="5">
        <v>10</v>
      </c>
      <c r="M36" s="45"/>
      <c r="N36" s="24">
        <f t="shared" si="0"/>
        <v>0</v>
      </c>
      <c r="O36" s="97"/>
    </row>
    <row r="37" spans="1:15" x14ac:dyDescent="0.25">
      <c r="A37" s="104">
        <v>449468</v>
      </c>
      <c r="B37" s="4" t="s">
        <v>199</v>
      </c>
      <c r="C37" s="4" t="s">
        <v>200</v>
      </c>
      <c r="D37" s="75" t="str">
        <f>_xlfn.XLOOKUP(B37,'Product Hierarchy'!A:A,'Product Hierarchy'!C:C)</f>
        <v>LEVEL5</v>
      </c>
      <c r="E37" s="75" t="str">
        <f>_xlfn.XLOOKUP(B37,'Product Hierarchy'!A:A,'Product Hierarchy'!E:E)</f>
        <v>Drywall Auto Tools</v>
      </c>
      <c r="F37" s="75" t="str">
        <f>_xlfn.XLOOKUP(B37,'Product Hierarchy'!A:A,'Product Hierarchy'!F:F)</f>
        <v>Handles</v>
      </c>
      <c r="G37" s="76">
        <v>205.99</v>
      </c>
      <c r="H37" s="76">
        <v>175.09</v>
      </c>
      <c r="I37" s="6">
        <v>122.56</v>
      </c>
      <c r="J37" s="5" t="s">
        <v>26</v>
      </c>
      <c r="K37" s="5">
        <v>6</v>
      </c>
      <c r="L37" s="5">
        <v>6</v>
      </c>
      <c r="M37" s="43"/>
      <c r="N37" s="24">
        <f t="shared" si="0"/>
        <v>0</v>
      </c>
      <c r="O37" s="97"/>
    </row>
    <row r="38" spans="1:15" x14ac:dyDescent="0.25">
      <c r="A38" s="104">
        <v>449470</v>
      </c>
      <c r="B38" s="4" t="s">
        <v>201</v>
      </c>
      <c r="C38" s="4" t="s">
        <v>202</v>
      </c>
      <c r="D38" s="75" t="str">
        <f>_xlfn.XLOOKUP(B38,'Product Hierarchy'!A:A,'Product Hierarchy'!C:C)</f>
        <v>LEVEL5</v>
      </c>
      <c r="E38" s="75" t="str">
        <f>_xlfn.XLOOKUP(B38,'Product Hierarchy'!A:A,'Product Hierarchy'!E:E)</f>
        <v>Drywall Auto Tools</v>
      </c>
      <c r="F38" s="75" t="str">
        <f>_xlfn.XLOOKUP(B38,'Product Hierarchy'!A:A,'Product Hierarchy'!F:F)</f>
        <v>Handles</v>
      </c>
      <c r="G38" s="76">
        <v>216.49</v>
      </c>
      <c r="H38" s="76">
        <v>184.02</v>
      </c>
      <c r="I38" s="6">
        <v>128.81</v>
      </c>
      <c r="J38" s="5" t="s">
        <v>26</v>
      </c>
      <c r="K38" s="5">
        <v>6</v>
      </c>
      <c r="L38" s="5">
        <v>6</v>
      </c>
      <c r="M38" s="43"/>
      <c r="N38" s="24">
        <f t="shared" si="0"/>
        <v>0</v>
      </c>
      <c r="O38" s="97"/>
    </row>
    <row r="39" spans="1:15" x14ac:dyDescent="0.25">
      <c r="A39" s="104">
        <v>449472</v>
      </c>
      <c r="B39" s="4" t="s">
        <v>203</v>
      </c>
      <c r="C39" s="4" t="s">
        <v>204</v>
      </c>
      <c r="D39" s="75" t="str">
        <f>_xlfn.XLOOKUP(B39,'Product Hierarchy'!A:A,'Product Hierarchy'!C:C)</f>
        <v>LEVEL5</v>
      </c>
      <c r="E39" s="75" t="str">
        <f>_xlfn.XLOOKUP(B39,'Product Hierarchy'!A:A,'Product Hierarchy'!E:E)</f>
        <v>Drywall Auto Tools</v>
      </c>
      <c r="F39" s="75" t="str">
        <f>_xlfn.XLOOKUP(B39,'Product Hierarchy'!A:A,'Product Hierarchy'!F:F)</f>
        <v>Gooseneck</v>
      </c>
      <c r="G39" s="76">
        <v>118.99</v>
      </c>
      <c r="H39" s="76">
        <v>101.14</v>
      </c>
      <c r="I39" s="6">
        <v>70.8</v>
      </c>
      <c r="J39" s="5" t="s">
        <v>26</v>
      </c>
      <c r="K39" s="5">
        <v>6</v>
      </c>
      <c r="L39" s="5">
        <v>24</v>
      </c>
      <c r="M39" s="43"/>
      <c r="N39" s="24">
        <f t="shared" si="0"/>
        <v>0</v>
      </c>
      <c r="O39" s="97"/>
    </row>
    <row r="40" spans="1:15" x14ac:dyDescent="0.25">
      <c r="A40" s="104">
        <v>449474</v>
      </c>
      <c r="B40" s="4" t="s">
        <v>205</v>
      </c>
      <c r="C40" s="4" t="s">
        <v>206</v>
      </c>
      <c r="D40" s="75" t="str">
        <f>_xlfn.XLOOKUP(B40,'Product Hierarchy'!A:A,'Product Hierarchy'!C:C)</f>
        <v>LEVEL5</v>
      </c>
      <c r="E40" s="75" t="str">
        <f>_xlfn.XLOOKUP(B40,'Product Hierarchy'!A:A,'Product Hierarchy'!E:E)</f>
        <v>Drywall Auto Tools</v>
      </c>
      <c r="F40" s="75" t="str">
        <f>_xlfn.XLOOKUP(B40,'Product Hierarchy'!A:A,'Product Hierarchy'!F:F)</f>
        <v>Compound Pumps</v>
      </c>
      <c r="G40" s="76">
        <v>79.489999999999995</v>
      </c>
      <c r="H40" s="76">
        <v>67.569999999999993</v>
      </c>
      <c r="I40" s="6">
        <v>47.3</v>
      </c>
      <c r="J40" s="5" t="s">
        <v>26</v>
      </c>
      <c r="K40" s="5">
        <v>1</v>
      </c>
      <c r="L40" s="5">
        <v>60</v>
      </c>
      <c r="M40" s="43"/>
      <c r="N40" s="24">
        <f t="shared" si="0"/>
        <v>0</v>
      </c>
      <c r="O40" s="97"/>
    </row>
    <row r="41" spans="1:15" x14ac:dyDescent="0.25">
      <c r="A41" s="104">
        <v>449477</v>
      </c>
      <c r="B41" s="4" t="s">
        <v>207</v>
      </c>
      <c r="C41" s="4" t="s">
        <v>208</v>
      </c>
      <c r="D41" s="75" t="str">
        <f>_xlfn.XLOOKUP(B41,'Product Hierarchy'!A:A,'Product Hierarchy'!C:C)</f>
        <v>LEVEL5</v>
      </c>
      <c r="E41" s="75" t="str">
        <f>_xlfn.XLOOKUP(B41,'Product Hierarchy'!A:A,'Product Hierarchy'!E:E)</f>
        <v>Drywall Auto Tools</v>
      </c>
      <c r="F41" s="75" t="str">
        <f>_xlfn.XLOOKUP(B41,'Product Hierarchy'!A:A,'Product Hierarchy'!F:F)</f>
        <v>Corner Finishers</v>
      </c>
      <c r="G41" s="76">
        <v>467.49</v>
      </c>
      <c r="H41" s="76">
        <v>397.37</v>
      </c>
      <c r="I41" s="6">
        <v>278.16000000000003</v>
      </c>
      <c r="J41" s="5" t="s">
        <v>26</v>
      </c>
      <c r="K41" s="5">
        <v>1</v>
      </c>
      <c r="L41" s="5">
        <v>10</v>
      </c>
      <c r="M41" s="43"/>
      <c r="N41" s="24">
        <f t="shared" si="0"/>
        <v>0</v>
      </c>
      <c r="O41" s="97"/>
    </row>
    <row r="42" spans="1:15" x14ac:dyDescent="0.25">
      <c r="A42" s="104">
        <v>450986</v>
      </c>
      <c r="B42" s="4" t="s">
        <v>1371</v>
      </c>
      <c r="C42" s="4" t="s">
        <v>1372</v>
      </c>
      <c r="D42" s="75" t="str">
        <f>_xlfn.XLOOKUP(B42,'Product Hierarchy'!A:A,'Product Hierarchy'!C:C)</f>
        <v>LEVEL5</v>
      </c>
      <c r="E42" s="75" t="str">
        <f>_xlfn.XLOOKUP(B42,'Product Hierarchy'!A:A,'Product Hierarchy'!E:E)</f>
        <v>Drywall Auto Tools</v>
      </c>
      <c r="F42" s="75" t="str">
        <f>_xlfn.XLOOKUP(B42,'Product Hierarchy'!A:A,'Product Hierarchy'!F:F)</f>
        <v>Storage</v>
      </c>
      <c r="G42" s="76">
        <v>53.49</v>
      </c>
      <c r="H42" s="76">
        <v>45.47</v>
      </c>
      <c r="I42" s="6">
        <v>31.83</v>
      </c>
      <c r="J42" s="5" t="s">
        <v>26</v>
      </c>
      <c r="K42" s="5">
        <v>1</v>
      </c>
      <c r="L42" s="5">
        <v>10</v>
      </c>
      <c r="M42" s="45"/>
      <c r="N42" s="24">
        <f t="shared" si="0"/>
        <v>0</v>
      </c>
      <c r="O42" s="97"/>
    </row>
    <row r="43" spans="1:15" x14ac:dyDescent="0.25">
      <c r="A43" s="104">
        <v>449481</v>
      </c>
      <c r="B43" s="4" t="s">
        <v>209</v>
      </c>
      <c r="C43" s="4" t="s">
        <v>210</v>
      </c>
      <c r="D43" s="75" t="str">
        <f>_xlfn.XLOOKUP(B43,'Product Hierarchy'!A:A,'Product Hierarchy'!C:C)</f>
        <v>LEVEL5</v>
      </c>
      <c r="E43" s="75" t="str">
        <f>_xlfn.XLOOKUP(B43,'Product Hierarchy'!A:A,'Product Hierarchy'!E:E)</f>
        <v>Drywall Auto Tools</v>
      </c>
      <c r="F43" s="75" t="str">
        <f>_xlfn.XLOOKUP(B43,'Product Hierarchy'!A:A,'Product Hierarchy'!F:F)</f>
        <v>Corner Finishers</v>
      </c>
      <c r="G43" s="76">
        <v>478.49</v>
      </c>
      <c r="H43" s="76">
        <v>406.72</v>
      </c>
      <c r="I43" s="6">
        <v>284.7</v>
      </c>
      <c r="J43" s="5" t="s">
        <v>26</v>
      </c>
      <c r="K43" s="5">
        <v>1</v>
      </c>
      <c r="L43" s="5">
        <v>10</v>
      </c>
      <c r="M43" s="43"/>
      <c r="N43" s="24">
        <f t="shared" si="0"/>
        <v>0</v>
      </c>
      <c r="O43" s="97"/>
    </row>
    <row r="44" spans="1:15" x14ac:dyDescent="0.25">
      <c r="A44" s="104">
        <v>450987</v>
      </c>
      <c r="B44" s="4" t="s">
        <v>1373</v>
      </c>
      <c r="C44" s="4" t="s">
        <v>1374</v>
      </c>
      <c r="D44" s="75" t="str">
        <f>_xlfn.XLOOKUP(B44,'Product Hierarchy'!A:A,'Product Hierarchy'!C:C)</f>
        <v>LEVEL5</v>
      </c>
      <c r="E44" s="75" t="str">
        <f>_xlfn.XLOOKUP(B44,'Product Hierarchy'!A:A,'Product Hierarchy'!E:E)</f>
        <v>Drywall Auto Tools</v>
      </c>
      <c r="F44" s="75" t="str">
        <f>_xlfn.XLOOKUP(B44,'Product Hierarchy'!A:A,'Product Hierarchy'!F:F)</f>
        <v>Storage</v>
      </c>
      <c r="G44" s="76">
        <v>53.49</v>
      </c>
      <c r="H44" s="76">
        <v>45.47</v>
      </c>
      <c r="I44" s="6">
        <v>31.83</v>
      </c>
      <c r="J44" s="5" t="s">
        <v>26</v>
      </c>
      <c r="K44" s="5">
        <v>1</v>
      </c>
      <c r="L44" s="5">
        <v>10</v>
      </c>
      <c r="M44" s="45"/>
      <c r="N44" s="24">
        <f t="shared" si="0"/>
        <v>0</v>
      </c>
      <c r="O44" s="97"/>
    </row>
    <row r="45" spans="1:15" x14ac:dyDescent="0.25">
      <c r="A45" s="104">
        <v>449485</v>
      </c>
      <c r="B45" s="4" t="s">
        <v>211</v>
      </c>
      <c r="C45" s="4" t="s">
        <v>212</v>
      </c>
      <c r="D45" s="75" t="str">
        <f>_xlfn.XLOOKUP(B45,'Product Hierarchy'!A:A,'Product Hierarchy'!C:C)</f>
        <v>LEVEL5</v>
      </c>
      <c r="E45" s="75" t="str">
        <f>_xlfn.XLOOKUP(B45,'Product Hierarchy'!A:A,'Product Hierarchy'!E:E)</f>
        <v>Drywall Auto Tools</v>
      </c>
      <c r="F45" s="75" t="str">
        <f>_xlfn.XLOOKUP(B45,'Product Hierarchy'!A:A,'Product Hierarchy'!F:F)</f>
        <v>Corner Finishers</v>
      </c>
      <c r="G45" s="76">
        <v>489.49</v>
      </c>
      <c r="H45" s="76">
        <v>416.07</v>
      </c>
      <c r="I45" s="6">
        <v>291.25</v>
      </c>
      <c r="J45" s="5" t="s">
        <v>26</v>
      </c>
      <c r="K45" s="5">
        <v>1</v>
      </c>
      <c r="L45" s="5">
        <v>10</v>
      </c>
      <c r="M45" s="43"/>
      <c r="N45" s="24">
        <f t="shared" si="0"/>
        <v>0</v>
      </c>
      <c r="O45" s="97"/>
    </row>
    <row r="46" spans="1:15" x14ac:dyDescent="0.25">
      <c r="A46" s="104">
        <v>450988</v>
      </c>
      <c r="B46" s="4" t="s">
        <v>1375</v>
      </c>
      <c r="C46" s="4" t="s">
        <v>1376</v>
      </c>
      <c r="D46" s="75" t="str">
        <f>_xlfn.XLOOKUP(B46,'Product Hierarchy'!A:A,'Product Hierarchy'!C:C)</f>
        <v>LEVEL5</v>
      </c>
      <c r="E46" s="75" t="str">
        <f>_xlfn.XLOOKUP(B46,'Product Hierarchy'!A:A,'Product Hierarchy'!E:E)</f>
        <v>Drywall Auto Tools</v>
      </c>
      <c r="F46" s="75" t="str">
        <f>_xlfn.XLOOKUP(B46,'Product Hierarchy'!A:A,'Product Hierarchy'!F:F)</f>
        <v>Storage</v>
      </c>
      <c r="G46" s="76">
        <v>53.49</v>
      </c>
      <c r="H46" s="76">
        <v>45.47</v>
      </c>
      <c r="I46" s="6">
        <v>31.83</v>
      </c>
      <c r="J46" s="5" t="s">
        <v>26</v>
      </c>
      <c r="K46" s="5">
        <v>1</v>
      </c>
      <c r="L46" s="5">
        <v>10</v>
      </c>
      <c r="M46" s="45"/>
      <c r="N46" s="24">
        <f t="shared" si="0"/>
        <v>0</v>
      </c>
      <c r="O46" s="97"/>
    </row>
    <row r="47" spans="1:15" x14ac:dyDescent="0.25">
      <c r="A47" s="104">
        <v>449488</v>
      </c>
      <c r="B47" s="4" t="s">
        <v>213</v>
      </c>
      <c r="C47" s="4" t="s">
        <v>214</v>
      </c>
      <c r="D47" s="75" t="str">
        <f>_xlfn.XLOOKUP(B47,'Product Hierarchy'!A:A,'Product Hierarchy'!C:C)</f>
        <v>LEVEL5</v>
      </c>
      <c r="E47" s="75" t="str">
        <f>_xlfn.XLOOKUP(B47,'Product Hierarchy'!A:A,'Product Hierarchy'!E:E)</f>
        <v>Drywall Auto Tools</v>
      </c>
      <c r="F47" s="75" t="str">
        <f>_xlfn.XLOOKUP(B47,'Product Hierarchy'!A:A,'Product Hierarchy'!F:F)</f>
        <v>Corner Finishers</v>
      </c>
      <c r="G47" s="76">
        <v>500.49</v>
      </c>
      <c r="H47" s="76">
        <v>425.42</v>
      </c>
      <c r="I47" s="6">
        <v>297.79000000000002</v>
      </c>
      <c r="J47" s="5" t="s">
        <v>26</v>
      </c>
      <c r="K47" s="5">
        <v>1</v>
      </c>
      <c r="L47" s="5">
        <v>10</v>
      </c>
      <c r="M47" s="43"/>
      <c r="N47" s="24">
        <f t="shared" si="0"/>
        <v>0</v>
      </c>
      <c r="O47" s="97"/>
    </row>
    <row r="48" spans="1:15" x14ac:dyDescent="0.25">
      <c r="A48" s="104">
        <v>450989</v>
      </c>
      <c r="B48" s="4" t="s">
        <v>4238</v>
      </c>
      <c r="C48" s="4" t="s">
        <v>4239</v>
      </c>
      <c r="D48" s="75" t="s">
        <v>958</v>
      </c>
      <c r="E48" s="75" t="s">
        <v>955</v>
      </c>
      <c r="F48" s="75" t="s">
        <v>1366</v>
      </c>
      <c r="G48" s="76">
        <v>53.49</v>
      </c>
      <c r="H48" s="76">
        <v>45.47</v>
      </c>
      <c r="I48" s="6">
        <v>31.83</v>
      </c>
      <c r="J48" s="5" t="s">
        <v>26</v>
      </c>
      <c r="K48" s="5">
        <v>1</v>
      </c>
      <c r="L48" s="5">
        <v>10</v>
      </c>
      <c r="M48" s="43"/>
      <c r="N48" s="24">
        <f t="shared" si="0"/>
        <v>0</v>
      </c>
      <c r="O48" s="97"/>
    </row>
    <row r="49" spans="1:15" x14ac:dyDescent="0.25">
      <c r="A49" s="104">
        <v>449491</v>
      </c>
      <c r="B49" s="4" t="s">
        <v>215</v>
      </c>
      <c r="C49" s="4" t="s">
        <v>216</v>
      </c>
      <c r="D49" s="75" t="str">
        <f>_xlfn.XLOOKUP(B49,'Product Hierarchy'!A:A,'Product Hierarchy'!C:C)</f>
        <v>LEVEL5</v>
      </c>
      <c r="E49" s="75" t="str">
        <f>_xlfn.XLOOKUP(B49,'Product Hierarchy'!A:A,'Product Hierarchy'!E:E)</f>
        <v>Drywall Auto Tools</v>
      </c>
      <c r="F49" s="75" t="str">
        <f>_xlfn.XLOOKUP(B49,'Product Hierarchy'!A:A,'Product Hierarchy'!F:F)</f>
        <v>Handles</v>
      </c>
      <c r="G49" s="76">
        <v>238.49</v>
      </c>
      <c r="H49" s="76">
        <v>202.72</v>
      </c>
      <c r="I49" s="6">
        <v>141.9</v>
      </c>
      <c r="J49" s="5" t="s">
        <v>26</v>
      </c>
      <c r="K49" s="5">
        <v>6</v>
      </c>
      <c r="L49" s="5">
        <v>6</v>
      </c>
      <c r="M49" s="43"/>
      <c r="N49" s="24">
        <f t="shared" si="0"/>
        <v>0</v>
      </c>
      <c r="O49" s="97"/>
    </row>
    <row r="50" spans="1:15" x14ac:dyDescent="0.25">
      <c r="A50" s="104">
        <v>449493</v>
      </c>
      <c r="B50" s="4" t="s">
        <v>849</v>
      </c>
      <c r="C50" s="4" t="s">
        <v>850</v>
      </c>
      <c r="D50" s="75" t="str">
        <f>_xlfn.XLOOKUP(B50,'Product Hierarchy'!A:A,'Product Hierarchy'!C:C)</f>
        <v>LEVEL5</v>
      </c>
      <c r="E50" s="75" t="str">
        <f>_xlfn.XLOOKUP(B50,'Product Hierarchy'!A:A,'Product Hierarchy'!E:E)</f>
        <v>Drywall Semi Auto Tools</v>
      </c>
      <c r="F50" s="75" t="str">
        <f>_xlfn.XLOOKUP(B50,'Product Hierarchy'!A:A,'Product Hierarchy'!F:F)</f>
        <v>Compound Dispensers</v>
      </c>
      <c r="G50" s="76">
        <v>226.49</v>
      </c>
      <c r="H50" s="76">
        <v>203.84</v>
      </c>
      <c r="I50" s="6">
        <v>142.69</v>
      </c>
      <c r="J50" s="5" t="s">
        <v>26</v>
      </c>
      <c r="K50" s="5">
        <v>1</v>
      </c>
      <c r="L50" s="5">
        <v>4</v>
      </c>
      <c r="M50" s="43"/>
      <c r="N50" s="24">
        <f t="shared" si="0"/>
        <v>0</v>
      </c>
      <c r="O50" s="97"/>
    </row>
    <row r="51" spans="1:15" x14ac:dyDescent="0.25">
      <c r="A51" s="104">
        <v>449495</v>
      </c>
      <c r="B51" s="4" t="s">
        <v>1646</v>
      </c>
      <c r="C51" s="4" t="s">
        <v>1647</v>
      </c>
      <c r="D51" s="75" t="str">
        <f>_xlfn.XLOOKUP(B51,'Product Hierarchy'!A:A,'Product Hierarchy'!C:C)</f>
        <v>LEVEL5</v>
      </c>
      <c r="E51" s="75" t="str">
        <f>_xlfn.XLOOKUP(B51,'Product Hierarchy'!A:A,'Product Hierarchy'!E:E)</f>
        <v>Drywall Semi Auto Tools</v>
      </c>
      <c r="F51" s="75" t="str">
        <f>_xlfn.XLOOKUP(B51,'Product Hierarchy'!A:A,'Product Hierarchy'!F:F)</f>
        <v>Flushers</v>
      </c>
      <c r="G51" s="76">
        <v>142.99</v>
      </c>
      <c r="H51" s="76">
        <v>128.69</v>
      </c>
      <c r="I51" s="6">
        <v>90.08</v>
      </c>
      <c r="J51" s="5" t="s">
        <v>26</v>
      </c>
      <c r="K51" s="5">
        <v>1</v>
      </c>
      <c r="L51" s="5">
        <v>12</v>
      </c>
      <c r="M51" s="45"/>
      <c r="N51" s="24">
        <f t="shared" si="0"/>
        <v>0</v>
      </c>
      <c r="O51" s="97"/>
    </row>
    <row r="52" spans="1:15" x14ac:dyDescent="0.25">
      <c r="A52" s="104">
        <v>449496</v>
      </c>
      <c r="B52" s="4" t="s">
        <v>1649</v>
      </c>
      <c r="C52" s="4" t="s">
        <v>1650</v>
      </c>
      <c r="D52" s="75" t="str">
        <f>_xlfn.XLOOKUP(B52,'Product Hierarchy'!A:A,'Product Hierarchy'!C:C)</f>
        <v>LEVEL5</v>
      </c>
      <c r="E52" s="75" t="str">
        <f>_xlfn.XLOOKUP(B52,'Product Hierarchy'!A:A,'Product Hierarchy'!E:E)</f>
        <v>Drywall Semi Auto Tools</v>
      </c>
      <c r="F52" s="75" t="str">
        <f>_xlfn.XLOOKUP(B52,'Product Hierarchy'!A:A,'Product Hierarchy'!F:F)</f>
        <v>Flushers</v>
      </c>
      <c r="G52" s="76">
        <v>147.49</v>
      </c>
      <c r="H52" s="76">
        <v>132.74</v>
      </c>
      <c r="I52" s="6">
        <v>92.92</v>
      </c>
      <c r="J52" s="5" t="s">
        <v>26</v>
      </c>
      <c r="K52" s="5">
        <v>1</v>
      </c>
      <c r="L52" s="5">
        <v>12</v>
      </c>
      <c r="M52" s="45"/>
      <c r="N52" s="24">
        <f t="shared" si="0"/>
        <v>0</v>
      </c>
      <c r="O52" s="97"/>
    </row>
    <row r="53" spans="1:15" x14ac:dyDescent="0.25">
      <c r="A53" s="104">
        <v>450718</v>
      </c>
      <c r="B53" s="4" t="s">
        <v>1037</v>
      </c>
      <c r="C53" s="4" t="s">
        <v>1038</v>
      </c>
      <c r="D53" s="75" t="str">
        <f>_xlfn.XLOOKUP(B53,'Product Hierarchy'!A:A,'Product Hierarchy'!C:C)</f>
        <v>LEVEL5</v>
      </c>
      <c r="E53" s="75" t="str">
        <f>_xlfn.XLOOKUP(B53,'Product Hierarchy'!A:A,'Product Hierarchy'!E:E)</f>
        <v>Drywall Auto Tools</v>
      </c>
      <c r="F53" s="75" t="str">
        <f>_xlfn.XLOOKUP(B53,'Product Hierarchy'!A:A,'Product Hierarchy'!F:F)</f>
        <v>Outside Applicator Head</v>
      </c>
      <c r="G53" s="76">
        <v>86.99</v>
      </c>
      <c r="H53" s="76">
        <v>73.94</v>
      </c>
      <c r="I53" s="6">
        <v>51.76</v>
      </c>
      <c r="J53" s="5" t="s">
        <v>26</v>
      </c>
      <c r="K53" s="5">
        <v>1</v>
      </c>
      <c r="L53" s="5">
        <v>12</v>
      </c>
      <c r="M53" s="45"/>
      <c r="N53" s="24">
        <f t="shared" si="0"/>
        <v>0</v>
      </c>
      <c r="O53" s="97"/>
    </row>
    <row r="54" spans="1:15" x14ac:dyDescent="0.25">
      <c r="A54" s="104">
        <v>449500</v>
      </c>
      <c r="B54" s="4" t="s">
        <v>965</v>
      </c>
      <c r="C54" s="4" t="s">
        <v>966</v>
      </c>
      <c r="D54" s="75" t="str">
        <f>_xlfn.XLOOKUP(B54,'Product Hierarchy'!A:A,'Product Hierarchy'!C:C)</f>
        <v>LEVEL5</v>
      </c>
      <c r="E54" s="75" t="str">
        <f>_xlfn.XLOOKUP(B54,'Product Hierarchy'!A:A,'Product Hierarchy'!E:E)</f>
        <v>Drywall Auto Tools</v>
      </c>
      <c r="F54" s="75" t="str">
        <f>_xlfn.XLOOKUP(B54,'Product Hierarchy'!A:A,'Product Hierarchy'!F:F)</f>
        <v>Compound Dispensers</v>
      </c>
      <c r="G54" s="76">
        <v>31.99</v>
      </c>
      <c r="H54" s="76">
        <v>27.19</v>
      </c>
      <c r="I54" s="6">
        <v>19.03</v>
      </c>
      <c r="J54" s="5" t="s">
        <v>26</v>
      </c>
      <c r="K54" s="5">
        <v>1</v>
      </c>
      <c r="L54" s="5">
        <v>12</v>
      </c>
      <c r="M54" s="45"/>
      <c r="N54" s="24">
        <f t="shared" si="0"/>
        <v>0</v>
      </c>
      <c r="O54" s="97"/>
    </row>
    <row r="55" spans="1:15" x14ac:dyDescent="0.25">
      <c r="A55" s="104">
        <v>449501</v>
      </c>
      <c r="B55" s="4" t="s">
        <v>217</v>
      </c>
      <c r="C55" s="4" t="s">
        <v>852</v>
      </c>
      <c r="D55" s="75" t="str">
        <f>_xlfn.XLOOKUP(B55,'Product Hierarchy'!A:A,'Product Hierarchy'!C:C)</f>
        <v>LEVEL5</v>
      </c>
      <c r="E55" s="75" t="str">
        <f>_xlfn.XLOOKUP(B55,'Product Hierarchy'!A:A,'Product Hierarchy'!E:E)</f>
        <v>Drywall Auto Tools</v>
      </c>
      <c r="F55" s="75" t="str">
        <f>_xlfn.XLOOKUP(B55,'Product Hierarchy'!A:A,'Product Hierarchy'!F:F)</f>
        <v>Nail Spotters</v>
      </c>
      <c r="G55" s="76">
        <v>318.99</v>
      </c>
      <c r="H55" s="76">
        <v>271.14</v>
      </c>
      <c r="I55" s="6">
        <v>189.8</v>
      </c>
      <c r="J55" s="5" t="s">
        <v>26</v>
      </c>
      <c r="K55" s="5">
        <v>1</v>
      </c>
      <c r="L55" s="5">
        <v>10</v>
      </c>
      <c r="M55" s="43"/>
      <c r="N55" s="24">
        <f t="shared" si="0"/>
        <v>0</v>
      </c>
      <c r="O55" s="97"/>
    </row>
    <row r="56" spans="1:15" x14ac:dyDescent="0.25">
      <c r="A56" s="104">
        <v>450990</v>
      </c>
      <c r="B56" s="4" t="s">
        <v>1377</v>
      </c>
      <c r="C56" s="4" t="s">
        <v>1378</v>
      </c>
      <c r="D56" s="75" t="str">
        <f>_xlfn.XLOOKUP(B56,'Product Hierarchy'!A:A,'Product Hierarchy'!C:C)</f>
        <v>LEVEL5</v>
      </c>
      <c r="E56" s="75" t="str">
        <f>_xlfn.XLOOKUP(B56,'Product Hierarchy'!A:A,'Product Hierarchy'!E:E)</f>
        <v>Drywall Auto Tools</v>
      </c>
      <c r="F56" s="75" t="str">
        <f>_xlfn.XLOOKUP(B56,'Product Hierarchy'!A:A,'Product Hierarchy'!F:F)</f>
        <v>Storage</v>
      </c>
      <c r="G56" s="76">
        <v>53.49</v>
      </c>
      <c r="H56" s="76">
        <v>45.47</v>
      </c>
      <c r="I56" s="6">
        <v>31.83</v>
      </c>
      <c r="J56" s="5" t="s">
        <v>26</v>
      </c>
      <c r="K56" s="5">
        <v>1</v>
      </c>
      <c r="L56" s="5">
        <v>10</v>
      </c>
      <c r="M56" s="45"/>
      <c r="N56" s="24">
        <f t="shared" si="0"/>
        <v>0</v>
      </c>
      <c r="O56" s="97"/>
    </row>
    <row r="57" spans="1:15" x14ac:dyDescent="0.25">
      <c r="A57" s="104">
        <v>449505</v>
      </c>
      <c r="B57" s="4" t="s">
        <v>218</v>
      </c>
      <c r="C57" s="4" t="s">
        <v>853</v>
      </c>
      <c r="D57" s="75" t="str">
        <f>_xlfn.XLOOKUP(B57,'Product Hierarchy'!A:A,'Product Hierarchy'!C:C)</f>
        <v>LEVEL5</v>
      </c>
      <c r="E57" s="75" t="str">
        <f>_xlfn.XLOOKUP(B57,'Product Hierarchy'!A:A,'Product Hierarchy'!E:E)</f>
        <v>Drywall Auto Tools</v>
      </c>
      <c r="F57" s="75" t="str">
        <f>_xlfn.XLOOKUP(B57,'Product Hierarchy'!A:A,'Product Hierarchy'!F:F)</f>
        <v>Nail Spotters</v>
      </c>
      <c r="G57" s="76">
        <v>340.99</v>
      </c>
      <c r="H57" s="76">
        <v>289.83999999999997</v>
      </c>
      <c r="I57" s="6">
        <v>202.89</v>
      </c>
      <c r="J57" s="5" t="s">
        <v>26</v>
      </c>
      <c r="K57" s="5">
        <v>1</v>
      </c>
      <c r="L57" s="5">
        <v>10</v>
      </c>
      <c r="M57" s="43"/>
      <c r="N57" s="24">
        <f t="shared" si="0"/>
        <v>0</v>
      </c>
      <c r="O57" s="97"/>
    </row>
    <row r="58" spans="1:15" x14ac:dyDescent="0.25">
      <c r="A58" s="104">
        <v>450991</v>
      </c>
      <c r="B58" s="4" t="s">
        <v>1379</v>
      </c>
      <c r="C58" s="4" t="s">
        <v>1380</v>
      </c>
      <c r="D58" s="75" t="str">
        <f>_xlfn.XLOOKUP(B58,'Product Hierarchy'!A:A,'Product Hierarchy'!C:C)</f>
        <v>LEVEL5</v>
      </c>
      <c r="E58" s="75" t="str">
        <f>_xlfn.XLOOKUP(B58,'Product Hierarchy'!A:A,'Product Hierarchy'!E:E)</f>
        <v>Drywall Auto Tools</v>
      </c>
      <c r="F58" s="75" t="str">
        <f>_xlfn.XLOOKUP(B58,'Product Hierarchy'!A:A,'Product Hierarchy'!F:F)</f>
        <v>Storage</v>
      </c>
      <c r="G58" s="76">
        <v>53.49</v>
      </c>
      <c r="H58" s="76">
        <v>45.47</v>
      </c>
      <c r="I58" s="6">
        <v>31.83</v>
      </c>
      <c r="J58" s="5" t="s">
        <v>26</v>
      </c>
      <c r="K58" s="5">
        <v>1</v>
      </c>
      <c r="L58" s="5">
        <v>10</v>
      </c>
      <c r="M58" s="45"/>
      <c r="N58" s="24">
        <f t="shared" si="0"/>
        <v>0</v>
      </c>
      <c r="O58" s="97"/>
    </row>
    <row r="59" spans="1:15" x14ac:dyDescent="0.25">
      <c r="A59" s="104">
        <v>449515</v>
      </c>
      <c r="B59" s="4" t="s">
        <v>219</v>
      </c>
      <c r="C59" s="4" t="s">
        <v>220</v>
      </c>
      <c r="D59" s="75" t="str">
        <f>_xlfn.XLOOKUP(B59,'Product Hierarchy'!A:A,'Product Hierarchy'!C:C)</f>
        <v>LEVEL5</v>
      </c>
      <c r="E59" s="75" t="str">
        <f>_xlfn.XLOOKUP(B59,'Product Hierarchy'!A:A,'Product Hierarchy'!E:E)</f>
        <v>Drywall Auto Tools</v>
      </c>
      <c r="F59" s="75" t="str">
        <f>_xlfn.XLOOKUP(B59,'Product Hierarchy'!A:A,'Product Hierarchy'!F:F)</f>
        <v>Handles</v>
      </c>
      <c r="G59" s="76">
        <v>368.49</v>
      </c>
      <c r="H59" s="76">
        <v>313.22000000000003</v>
      </c>
      <c r="I59" s="6">
        <v>219.25</v>
      </c>
      <c r="J59" s="5" t="s">
        <v>26</v>
      </c>
      <c r="K59" s="5">
        <v>6</v>
      </c>
      <c r="L59" s="5">
        <v>6</v>
      </c>
      <c r="M59" s="43"/>
      <c r="N59" s="24">
        <f t="shared" si="0"/>
        <v>0</v>
      </c>
      <c r="O59" s="97"/>
    </row>
    <row r="60" spans="1:15" x14ac:dyDescent="0.25">
      <c r="A60" s="104">
        <v>449517</v>
      </c>
      <c r="B60" s="4" t="s">
        <v>221</v>
      </c>
      <c r="C60" s="4" t="s">
        <v>854</v>
      </c>
      <c r="D60" s="75" t="str">
        <f>_xlfn.XLOOKUP(B60,'Product Hierarchy'!A:A,'Product Hierarchy'!C:C)</f>
        <v>LEVEL5</v>
      </c>
      <c r="E60" s="75" t="str">
        <f>_xlfn.XLOOKUP(B60,'Product Hierarchy'!A:A,'Product Hierarchy'!E:E)</f>
        <v>Drywall Auto Tools</v>
      </c>
      <c r="F60" s="75" t="str">
        <f>_xlfn.XLOOKUP(B60,'Product Hierarchy'!A:A,'Product Hierarchy'!F:F)</f>
        <v>Auto Tapers</v>
      </c>
      <c r="G60" s="76">
        <v>1699.99</v>
      </c>
      <c r="H60" s="76">
        <v>1444.99</v>
      </c>
      <c r="I60" s="6">
        <v>1011.49</v>
      </c>
      <c r="J60" s="5" t="s">
        <v>26</v>
      </c>
      <c r="K60" s="5">
        <v>1</v>
      </c>
      <c r="L60" s="5">
        <v>4</v>
      </c>
      <c r="M60" s="43"/>
      <c r="N60" s="24">
        <f t="shared" si="0"/>
        <v>0</v>
      </c>
      <c r="O60" s="97"/>
    </row>
    <row r="61" spans="1:15" x14ac:dyDescent="0.25">
      <c r="A61" s="104">
        <v>451002</v>
      </c>
      <c r="B61" s="4" t="s">
        <v>1381</v>
      </c>
      <c r="C61" s="4" t="s">
        <v>1382</v>
      </c>
      <c r="D61" s="75" t="str">
        <f>_xlfn.XLOOKUP(B61,'Product Hierarchy'!A:A,'Product Hierarchy'!C:C)</f>
        <v>LEVEL5</v>
      </c>
      <c r="E61" s="75" t="str">
        <f>_xlfn.XLOOKUP(B61,'Product Hierarchy'!A:A,'Product Hierarchy'!E:E)</f>
        <v>Drywall Auto Tools</v>
      </c>
      <c r="F61" s="75" t="str">
        <f>_xlfn.XLOOKUP(B61,'Product Hierarchy'!A:A,'Product Hierarchy'!F:F)</f>
        <v>Storage</v>
      </c>
      <c r="G61" s="76">
        <v>199.99</v>
      </c>
      <c r="H61" s="76">
        <v>169.99</v>
      </c>
      <c r="I61" s="6">
        <v>118.99</v>
      </c>
      <c r="J61" s="5" t="s">
        <v>26</v>
      </c>
      <c r="K61" s="5">
        <v>1</v>
      </c>
      <c r="L61" s="5">
        <v>4</v>
      </c>
      <c r="M61" s="45"/>
      <c r="N61" s="24">
        <f t="shared" si="0"/>
        <v>0</v>
      </c>
      <c r="O61" s="97"/>
    </row>
    <row r="62" spans="1:15" x14ac:dyDescent="0.25">
      <c r="A62" s="104">
        <v>449520</v>
      </c>
      <c r="B62" s="4" t="s">
        <v>222</v>
      </c>
      <c r="C62" s="4" t="s">
        <v>855</v>
      </c>
      <c r="D62" s="75" t="str">
        <f>_xlfn.XLOOKUP(B62,'Product Hierarchy'!A:A,'Product Hierarchy'!C:C)</f>
        <v>LEVEL5</v>
      </c>
      <c r="E62" s="75" t="str">
        <f>_xlfn.XLOOKUP(B62,'Product Hierarchy'!A:A,'Product Hierarchy'!E:E)</f>
        <v>Drywall Auto Tools</v>
      </c>
      <c r="F62" s="75" t="str">
        <f>_xlfn.XLOOKUP(B62,'Product Hierarchy'!A:A,'Product Hierarchy'!F:F)</f>
        <v>Flat Boxes</v>
      </c>
      <c r="G62" s="76">
        <v>446.49</v>
      </c>
      <c r="H62" s="76">
        <v>379.52</v>
      </c>
      <c r="I62" s="6">
        <v>265.66000000000003</v>
      </c>
      <c r="J62" s="5" t="s">
        <v>26</v>
      </c>
      <c r="K62" s="5">
        <v>1</v>
      </c>
      <c r="L62" s="5">
        <v>10</v>
      </c>
      <c r="M62" s="43"/>
      <c r="N62" s="24">
        <f t="shared" si="0"/>
        <v>0</v>
      </c>
      <c r="O62" s="97"/>
    </row>
    <row r="63" spans="1:15" x14ac:dyDescent="0.25">
      <c r="A63" s="104">
        <v>450995</v>
      </c>
      <c r="B63" s="4" t="s">
        <v>1383</v>
      </c>
      <c r="C63" s="4" t="s">
        <v>1384</v>
      </c>
      <c r="D63" s="75" t="str">
        <f>_xlfn.XLOOKUP(B63,'Product Hierarchy'!A:A,'Product Hierarchy'!C:C)</f>
        <v>LEVEL5</v>
      </c>
      <c r="E63" s="75" t="str">
        <f>_xlfn.XLOOKUP(B63,'Product Hierarchy'!A:A,'Product Hierarchy'!E:E)</f>
        <v>Drywall Auto Tools</v>
      </c>
      <c r="F63" s="75" t="str">
        <f>_xlfn.XLOOKUP(B63,'Product Hierarchy'!A:A,'Product Hierarchy'!F:F)</f>
        <v>Storage</v>
      </c>
      <c r="G63" s="76">
        <v>66.989999999999995</v>
      </c>
      <c r="H63" s="76">
        <v>56.94</v>
      </c>
      <c r="I63" s="6">
        <v>39.86</v>
      </c>
      <c r="J63" s="5" t="s">
        <v>26</v>
      </c>
      <c r="K63" s="5">
        <v>1</v>
      </c>
      <c r="L63" s="5">
        <v>10</v>
      </c>
      <c r="M63" s="45"/>
      <c r="N63" s="24">
        <f t="shared" si="0"/>
        <v>0</v>
      </c>
      <c r="O63" s="97"/>
    </row>
    <row r="64" spans="1:15" x14ac:dyDescent="0.25">
      <c r="A64" s="104">
        <v>449523</v>
      </c>
      <c r="B64" s="4" t="s">
        <v>223</v>
      </c>
      <c r="C64" s="4" t="s">
        <v>856</v>
      </c>
      <c r="D64" s="75" t="str">
        <f>_xlfn.XLOOKUP(B64,'Product Hierarchy'!A:A,'Product Hierarchy'!C:C)</f>
        <v>LEVEL5</v>
      </c>
      <c r="E64" s="75" t="str">
        <f>_xlfn.XLOOKUP(B64,'Product Hierarchy'!A:A,'Product Hierarchy'!E:E)</f>
        <v>Drywall Auto Tools</v>
      </c>
      <c r="F64" s="75" t="str">
        <f>_xlfn.XLOOKUP(B64,'Product Hierarchy'!A:A,'Product Hierarchy'!F:F)</f>
        <v>Flat Boxes</v>
      </c>
      <c r="G64" s="76">
        <v>457.49</v>
      </c>
      <c r="H64" s="76">
        <v>388.87</v>
      </c>
      <c r="I64" s="6">
        <v>272.20999999999998</v>
      </c>
      <c r="J64" s="5" t="s">
        <v>26</v>
      </c>
      <c r="K64" s="5">
        <v>1</v>
      </c>
      <c r="L64" s="5">
        <v>10</v>
      </c>
      <c r="M64" s="43"/>
      <c r="N64" s="24">
        <f t="shared" si="0"/>
        <v>0</v>
      </c>
      <c r="O64" s="97"/>
    </row>
    <row r="65" spans="1:15" x14ac:dyDescent="0.25">
      <c r="A65" s="104">
        <v>450992</v>
      </c>
      <c r="B65" s="4" t="s">
        <v>1385</v>
      </c>
      <c r="C65" s="4" t="s">
        <v>1386</v>
      </c>
      <c r="D65" s="75" t="str">
        <f>_xlfn.XLOOKUP(B65,'Product Hierarchy'!A:A,'Product Hierarchy'!C:C)</f>
        <v>LEVEL5</v>
      </c>
      <c r="E65" s="75" t="str">
        <f>_xlfn.XLOOKUP(B65,'Product Hierarchy'!A:A,'Product Hierarchy'!E:E)</f>
        <v>Drywall Auto Tools</v>
      </c>
      <c r="F65" s="75" t="str">
        <f>_xlfn.XLOOKUP(B65,'Product Hierarchy'!A:A,'Product Hierarchy'!F:F)</f>
        <v>Storage</v>
      </c>
      <c r="G65" s="76">
        <v>66.989999999999995</v>
      </c>
      <c r="H65" s="76">
        <v>56.94</v>
      </c>
      <c r="I65" s="6">
        <v>39.86</v>
      </c>
      <c r="J65" s="5" t="s">
        <v>26</v>
      </c>
      <c r="K65" s="5">
        <v>1</v>
      </c>
      <c r="L65" s="5">
        <v>10</v>
      </c>
      <c r="M65" s="45"/>
      <c r="N65" s="24">
        <f t="shared" si="0"/>
        <v>0</v>
      </c>
      <c r="O65" s="97"/>
    </row>
    <row r="66" spans="1:15" x14ac:dyDescent="0.25">
      <c r="A66" s="104">
        <v>449526</v>
      </c>
      <c r="B66" s="4" t="s">
        <v>224</v>
      </c>
      <c r="C66" s="4" t="s">
        <v>857</v>
      </c>
      <c r="D66" s="75" t="str">
        <f>_xlfn.XLOOKUP(B66,'Product Hierarchy'!A:A,'Product Hierarchy'!C:C)</f>
        <v>LEVEL5</v>
      </c>
      <c r="E66" s="75" t="str">
        <f>_xlfn.XLOOKUP(B66,'Product Hierarchy'!A:A,'Product Hierarchy'!E:E)</f>
        <v>Drywall Auto Tools</v>
      </c>
      <c r="F66" s="75" t="str">
        <f>_xlfn.XLOOKUP(B66,'Product Hierarchy'!A:A,'Product Hierarchy'!F:F)</f>
        <v>Flat Boxes</v>
      </c>
      <c r="G66" s="76">
        <v>468.99</v>
      </c>
      <c r="H66" s="76">
        <v>398.64</v>
      </c>
      <c r="I66" s="6">
        <v>279.05</v>
      </c>
      <c r="J66" s="5" t="s">
        <v>26</v>
      </c>
      <c r="K66" s="5">
        <v>1</v>
      </c>
      <c r="L66" s="5">
        <v>10</v>
      </c>
      <c r="M66" s="43"/>
      <c r="N66" s="24">
        <f t="shared" si="0"/>
        <v>0</v>
      </c>
      <c r="O66" s="97"/>
    </row>
    <row r="67" spans="1:15" x14ac:dyDescent="0.25">
      <c r="A67" s="104">
        <v>450996</v>
      </c>
      <c r="B67" s="4" t="s">
        <v>1387</v>
      </c>
      <c r="C67" s="4" t="s">
        <v>1388</v>
      </c>
      <c r="D67" s="75" t="str">
        <f>_xlfn.XLOOKUP(B67,'Product Hierarchy'!A:A,'Product Hierarchy'!C:C)</f>
        <v>LEVEL5</v>
      </c>
      <c r="E67" s="75" t="str">
        <f>_xlfn.XLOOKUP(B67,'Product Hierarchy'!A:A,'Product Hierarchy'!E:E)</f>
        <v>Drywall Auto Tools</v>
      </c>
      <c r="F67" s="75" t="str">
        <f>_xlfn.XLOOKUP(B67,'Product Hierarchy'!A:A,'Product Hierarchy'!F:F)</f>
        <v>Storage</v>
      </c>
      <c r="G67" s="76">
        <v>66.989999999999995</v>
      </c>
      <c r="H67" s="76">
        <v>56.94</v>
      </c>
      <c r="I67" s="6">
        <v>39.86</v>
      </c>
      <c r="J67" s="5" t="s">
        <v>26</v>
      </c>
      <c r="K67" s="5">
        <v>1</v>
      </c>
      <c r="L67" s="5">
        <v>10</v>
      </c>
      <c r="M67" s="45"/>
      <c r="N67" s="24">
        <f t="shared" si="0"/>
        <v>0</v>
      </c>
      <c r="O67" s="97"/>
    </row>
    <row r="68" spans="1:15" x14ac:dyDescent="0.25">
      <c r="A68" s="104">
        <v>449529</v>
      </c>
      <c r="B68" s="4" t="s">
        <v>225</v>
      </c>
      <c r="C68" s="4" t="s">
        <v>858</v>
      </c>
      <c r="D68" s="75" t="str">
        <f>_xlfn.XLOOKUP(B68,'Product Hierarchy'!A:A,'Product Hierarchy'!C:C)</f>
        <v>LEVEL5</v>
      </c>
      <c r="E68" s="75" t="str">
        <f>_xlfn.XLOOKUP(B68,'Product Hierarchy'!A:A,'Product Hierarchy'!E:E)</f>
        <v>Drywall Auto Tools</v>
      </c>
      <c r="F68" s="75" t="str">
        <f>_xlfn.XLOOKUP(B68,'Product Hierarchy'!A:A,'Product Hierarchy'!F:F)</f>
        <v>Flat Boxes</v>
      </c>
      <c r="G68" s="76">
        <v>468.99</v>
      </c>
      <c r="H68" s="76">
        <v>398.64</v>
      </c>
      <c r="I68" s="6">
        <v>279.05</v>
      </c>
      <c r="J68" s="5" t="s">
        <v>26</v>
      </c>
      <c r="K68" s="5">
        <v>1</v>
      </c>
      <c r="L68" s="5">
        <v>10</v>
      </c>
      <c r="M68" s="43"/>
      <c r="N68" s="24">
        <f t="shared" si="0"/>
        <v>0</v>
      </c>
      <c r="O68" s="97"/>
    </row>
    <row r="69" spans="1:15" x14ac:dyDescent="0.25">
      <c r="A69" s="104">
        <v>450994</v>
      </c>
      <c r="B69" s="4" t="s">
        <v>1389</v>
      </c>
      <c r="C69" s="4" t="s">
        <v>1390</v>
      </c>
      <c r="D69" s="75" t="str">
        <f>_xlfn.XLOOKUP(B69,'Product Hierarchy'!A:A,'Product Hierarchy'!C:C)</f>
        <v>LEVEL5</v>
      </c>
      <c r="E69" s="75" t="str">
        <f>_xlfn.XLOOKUP(B69,'Product Hierarchy'!A:A,'Product Hierarchy'!E:E)</f>
        <v>Drywall Auto Tools</v>
      </c>
      <c r="F69" s="75" t="str">
        <f>_xlfn.XLOOKUP(B69,'Product Hierarchy'!A:A,'Product Hierarchy'!F:F)</f>
        <v>Storage</v>
      </c>
      <c r="G69" s="76">
        <v>66.989999999999995</v>
      </c>
      <c r="H69" s="76">
        <v>56.94</v>
      </c>
      <c r="I69" s="6">
        <v>39.86</v>
      </c>
      <c r="J69" s="5" t="s">
        <v>26</v>
      </c>
      <c r="K69" s="5">
        <v>1</v>
      </c>
      <c r="L69" s="5">
        <v>10</v>
      </c>
      <c r="M69" s="45"/>
      <c r="N69" s="24">
        <f t="shared" si="0"/>
        <v>0</v>
      </c>
      <c r="O69" s="97"/>
    </row>
    <row r="70" spans="1:15" x14ac:dyDescent="0.25">
      <c r="A70" s="104">
        <v>449532</v>
      </c>
      <c r="B70" s="4" t="s">
        <v>226</v>
      </c>
      <c r="C70" s="4" t="s">
        <v>859</v>
      </c>
      <c r="D70" s="75" t="str">
        <f>_xlfn.XLOOKUP(B70,'Product Hierarchy'!A:A,'Product Hierarchy'!C:C)</f>
        <v>LEVEL5</v>
      </c>
      <c r="E70" s="75" t="str">
        <f>_xlfn.XLOOKUP(B70,'Product Hierarchy'!A:A,'Product Hierarchy'!E:E)</f>
        <v>Drywall Auto Tools</v>
      </c>
      <c r="F70" s="75" t="str">
        <f>_xlfn.XLOOKUP(B70,'Product Hierarchy'!A:A,'Product Hierarchy'!F:F)</f>
        <v>Flat Boxes</v>
      </c>
      <c r="G70" s="76">
        <v>479.99</v>
      </c>
      <c r="H70" s="76">
        <v>407.99</v>
      </c>
      <c r="I70" s="6">
        <v>285.58999999999997</v>
      </c>
      <c r="J70" s="5" t="s">
        <v>26</v>
      </c>
      <c r="K70" s="5">
        <v>1</v>
      </c>
      <c r="L70" s="5">
        <v>10</v>
      </c>
      <c r="M70" s="43"/>
      <c r="N70" s="24">
        <f t="shared" si="0"/>
        <v>0</v>
      </c>
      <c r="O70" s="97"/>
    </row>
    <row r="71" spans="1:15" x14ac:dyDescent="0.25">
      <c r="A71" s="104">
        <v>450993</v>
      </c>
      <c r="B71" s="4" t="s">
        <v>1391</v>
      </c>
      <c r="C71" s="4" t="s">
        <v>1392</v>
      </c>
      <c r="D71" s="75" t="str">
        <f>_xlfn.XLOOKUP(B71,'Product Hierarchy'!A:A,'Product Hierarchy'!C:C)</f>
        <v>LEVEL5</v>
      </c>
      <c r="E71" s="75" t="str">
        <f>_xlfn.XLOOKUP(B71,'Product Hierarchy'!A:A,'Product Hierarchy'!E:E)</f>
        <v>Drywall Auto Tools</v>
      </c>
      <c r="F71" s="75" t="str">
        <f>_xlfn.XLOOKUP(B71,'Product Hierarchy'!A:A,'Product Hierarchy'!F:F)</f>
        <v>Storage</v>
      </c>
      <c r="G71" s="76">
        <v>66.989999999999995</v>
      </c>
      <c r="H71" s="76">
        <v>56.94</v>
      </c>
      <c r="I71" s="6">
        <v>39.86</v>
      </c>
      <c r="J71" s="5" t="s">
        <v>26</v>
      </c>
      <c r="K71" s="5">
        <v>1</v>
      </c>
      <c r="L71" s="5">
        <v>10</v>
      </c>
      <c r="M71" s="45"/>
      <c r="N71" s="24">
        <f t="shared" si="0"/>
        <v>0</v>
      </c>
      <c r="O71" s="97"/>
    </row>
    <row r="72" spans="1:15" x14ac:dyDescent="0.25">
      <c r="A72" s="104">
        <v>449535</v>
      </c>
      <c r="B72" s="4" t="s">
        <v>227</v>
      </c>
      <c r="C72" s="4" t="s">
        <v>860</v>
      </c>
      <c r="D72" s="75" t="str">
        <f>_xlfn.XLOOKUP(B72,'Product Hierarchy'!A:A,'Product Hierarchy'!C:C)</f>
        <v>LEVEL5</v>
      </c>
      <c r="E72" s="75" t="str">
        <f>_xlfn.XLOOKUP(B72,'Product Hierarchy'!A:A,'Product Hierarchy'!E:E)</f>
        <v>Drywall Auto Tools</v>
      </c>
      <c r="F72" s="75" t="str">
        <f>_xlfn.XLOOKUP(B72,'Product Hierarchy'!A:A,'Product Hierarchy'!F:F)</f>
        <v>Flat Boxes</v>
      </c>
      <c r="G72" s="76">
        <v>496.49</v>
      </c>
      <c r="H72" s="76">
        <v>422.02</v>
      </c>
      <c r="I72" s="6">
        <v>295.41000000000003</v>
      </c>
      <c r="J72" s="5" t="s">
        <v>26</v>
      </c>
      <c r="K72" s="5">
        <v>1</v>
      </c>
      <c r="L72" s="5">
        <v>10</v>
      </c>
      <c r="M72" s="43"/>
      <c r="N72" s="24">
        <f t="shared" si="0"/>
        <v>0</v>
      </c>
      <c r="O72" s="97"/>
    </row>
    <row r="73" spans="1:15" x14ac:dyDescent="0.25">
      <c r="A73" s="104">
        <v>450997</v>
      </c>
      <c r="B73" s="4" t="s">
        <v>1393</v>
      </c>
      <c r="C73" s="4" t="s">
        <v>1394</v>
      </c>
      <c r="D73" s="75" t="str">
        <f>_xlfn.XLOOKUP(B73,'Product Hierarchy'!A:A,'Product Hierarchy'!C:C)</f>
        <v>LEVEL5</v>
      </c>
      <c r="E73" s="75" t="str">
        <f>_xlfn.XLOOKUP(B73,'Product Hierarchy'!A:A,'Product Hierarchy'!E:E)</f>
        <v>Drywall Auto Tools</v>
      </c>
      <c r="F73" s="75" t="str">
        <f>_xlfn.XLOOKUP(B73,'Product Hierarchy'!A:A,'Product Hierarchy'!F:F)</f>
        <v>Storage</v>
      </c>
      <c r="G73" s="76">
        <v>66.989999999999995</v>
      </c>
      <c r="H73" s="76">
        <v>56.94</v>
      </c>
      <c r="I73" s="6">
        <v>39.86</v>
      </c>
      <c r="J73" s="5" t="s">
        <v>26</v>
      </c>
      <c r="K73" s="5">
        <v>1</v>
      </c>
      <c r="L73" s="5">
        <v>10</v>
      </c>
      <c r="M73" s="45"/>
      <c r="N73" s="24">
        <f t="shared" si="0"/>
        <v>0</v>
      </c>
      <c r="O73" s="97"/>
    </row>
    <row r="74" spans="1:15" x14ac:dyDescent="0.25">
      <c r="A74" s="104">
        <v>449538</v>
      </c>
      <c r="B74" s="4" t="s">
        <v>228</v>
      </c>
      <c r="C74" s="4" t="s">
        <v>861</v>
      </c>
      <c r="D74" s="75" t="str">
        <f>_xlfn.XLOOKUP(B74,'Product Hierarchy'!A:A,'Product Hierarchy'!C:C)</f>
        <v>LEVEL5</v>
      </c>
      <c r="E74" s="75" t="str">
        <f>_xlfn.XLOOKUP(B74,'Product Hierarchy'!A:A,'Product Hierarchy'!E:E)</f>
        <v>Drywall Auto Tools</v>
      </c>
      <c r="F74" s="75" t="str">
        <f>_xlfn.XLOOKUP(B74,'Product Hierarchy'!A:A,'Product Hierarchy'!F:F)</f>
        <v>Flat Boxes</v>
      </c>
      <c r="G74" s="76">
        <v>485.49</v>
      </c>
      <c r="H74" s="76">
        <v>412.67</v>
      </c>
      <c r="I74" s="6">
        <v>288.87</v>
      </c>
      <c r="J74" s="5" t="s">
        <v>26</v>
      </c>
      <c r="K74" s="5">
        <v>1</v>
      </c>
      <c r="L74" s="5">
        <v>10</v>
      </c>
      <c r="M74" s="43"/>
      <c r="N74" s="24">
        <f t="shared" si="0"/>
        <v>0</v>
      </c>
      <c r="O74" s="97"/>
    </row>
    <row r="75" spans="1:15" x14ac:dyDescent="0.25">
      <c r="A75" s="104">
        <v>450998</v>
      </c>
      <c r="B75" s="4" t="s">
        <v>1395</v>
      </c>
      <c r="C75" s="4" t="s">
        <v>1396</v>
      </c>
      <c r="D75" s="75" t="str">
        <f>_xlfn.XLOOKUP(B75,'Product Hierarchy'!A:A,'Product Hierarchy'!C:C)</f>
        <v>LEVEL5</v>
      </c>
      <c r="E75" s="75" t="str">
        <f>_xlfn.XLOOKUP(B75,'Product Hierarchy'!A:A,'Product Hierarchy'!E:E)</f>
        <v>Drywall Auto Tools</v>
      </c>
      <c r="F75" s="75" t="str">
        <f>_xlfn.XLOOKUP(B75,'Product Hierarchy'!A:A,'Product Hierarchy'!F:F)</f>
        <v>Storage</v>
      </c>
      <c r="G75" s="76">
        <v>66.989999999999995</v>
      </c>
      <c r="H75" s="76">
        <v>56.94</v>
      </c>
      <c r="I75" s="6">
        <v>39.86</v>
      </c>
      <c r="J75" s="5" t="s">
        <v>26</v>
      </c>
      <c r="K75" s="5">
        <v>1</v>
      </c>
      <c r="L75" s="5">
        <v>10</v>
      </c>
      <c r="M75" s="45"/>
      <c r="N75" s="24">
        <f t="shared" si="0"/>
        <v>0</v>
      </c>
      <c r="O75" s="97"/>
    </row>
    <row r="76" spans="1:15" x14ac:dyDescent="0.25">
      <c r="A76" s="104">
        <v>449541</v>
      </c>
      <c r="B76" s="4" t="s">
        <v>229</v>
      </c>
      <c r="C76" s="4" t="s">
        <v>862</v>
      </c>
      <c r="D76" s="75" t="str">
        <f>_xlfn.XLOOKUP(B76,'Product Hierarchy'!A:A,'Product Hierarchy'!C:C)</f>
        <v>LEVEL5</v>
      </c>
      <c r="E76" s="75" t="str">
        <f>_xlfn.XLOOKUP(B76,'Product Hierarchy'!A:A,'Product Hierarchy'!E:E)</f>
        <v>Drywall Auto Tools</v>
      </c>
      <c r="F76" s="75" t="str">
        <f>_xlfn.XLOOKUP(B76,'Product Hierarchy'!A:A,'Product Hierarchy'!F:F)</f>
        <v>Compound Pumps</v>
      </c>
      <c r="G76" s="76">
        <v>532.49</v>
      </c>
      <c r="H76" s="76">
        <v>452.62</v>
      </c>
      <c r="I76" s="6">
        <v>316.83</v>
      </c>
      <c r="J76" s="5" t="s">
        <v>26</v>
      </c>
      <c r="K76" s="5">
        <v>1</v>
      </c>
      <c r="L76" s="5">
        <v>4</v>
      </c>
      <c r="M76" s="43"/>
      <c r="N76" s="24">
        <f t="shared" ref="N76:N139" si="1">M76*I76</f>
        <v>0</v>
      </c>
      <c r="O76" s="97"/>
    </row>
    <row r="77" spans="1:15" x14ac:dyDescent="0.25">
      <c r="A77" s="104">
        <v>451001</v>
      </c>
      <c r="B77" s="4" t="s">
        <v>1397</v>
      </c>
      <c r="C77" s="4" t="s">
        <v>1398</v>
      </c>
      <c r="D77" s="75" t="str">
        <f>_xlfn.XLOOKUP(B77,'Product Hierarchy'!A:A,'Product Hierarchy'!C:C)</f>
        <v>LEVEL5</v>
      </c>
      <c r="E77" s="75" t="str">
        <f>_xlfn.XLOOKUP(B77,'Product Hierarchy'!A:A,'Product Hierarchy'!E:E)</f>
        <v>Drywall Auto Tools</v>
      </c>
      <c r="F77" s="75" t="str">
        <f>_xlfn.XLOOKUP(B77,'Product Hierarchy'!A:A,'Product Hierarchy'!F:F)</f>
        <v>Storage</v>
      </c>
      <c r="G77" s="76">
        <v>133.49</v>
      </c>
      <c r="H77" s="76">
        <v>113.47</v>
      </c>
      <c r="I77" s="6">
        <v>79.430000000000007</v>
      </c>
      <c r="J77" s="5" t="s">
        <v>26</v>
      </c>
      <c r="K77" s="5">
        <v>1</v>
      </c>
      <c r="L77" s="5">
        <v>4</v>
      </c>
      <c r="M77" s="45"/>
      <c r="N77" s="24">
        <f t="shared" si="1"/>
        <v>0</v>
      </c>
      <c r="O77" s="97"/>
    </row>
    <row r="78" spans="1:15" x14ac:dyDescent="0.25">
      <c r="A78" s="104">
        <v>449544</v>
      </c>
      <c r="B78" s="4" t="s">
        <v>799</v>
      </c>
      <c r="C78" s="4" t="s">
        <v>800</v>
      </c>
      <c r="D78" s="75" t="str">
        <f>_xlfn.XLOOKUP(B78,'Product Hierarchy'!A:A,'Product Hierarchy'!C:C)</f>
        <v>LEVEL5</v>
      </c>
      <c r="E78" s="75" t="str">
        <f>_xlfn.XLOOKUP(B78,'Product Hierarchy'!A:A,'Product Hierarchy'!E:E)</f>
        <v>Drywall Auto Tools</v>
      </c>
      <c r="F78" s="75" t="str">
        <f>_xlfn.XLOOKUP(B78,'Product Hierarchy'!A:A,'Product Hierarchy'!F:F)</f>
        <v>Compound Dispensers</v>
      </c>
      <c r="G78" s="76">
        <v>1099.99</v>
      </c>
      <c r="H78" s="76">
        <v>934.99</v>
      </c>
      <c r="I78" s="6">
        <v>654.49</v>
      </c>
      <c r="J78" s="5" t="s">
        <v>26</v>
      </c>
      <c r="K78" s="5">
        <v>1</v>
      </c>
      <c r="L78" s="5">
        <v>4</v>
      </c>
      <c r="M78" s="43"/>
      <c r="N78" s="24">
        <f t="shared" si="1"/>
        <v>0</v>
      </c>
      <c r="O78" s="97"/>
    </row>
    <row r="79" spans="1:15" x14ac:dyDescent="0.25">
      <c r="A79" s="104">
        <v>449546</v>
      </c>
      <c r="B79" s="4" t="s">
        <v>1020</v>
      </c>
      <c r="C79" s="4" t="s">
        <v>1021</v>
      </c>
      <c r="D79" s="75" t="str">
        <f>_xlfn.XLOOKUP(B79,'Product Hierarchy'!A:A,'Product Hierarchy'!C:C)</f>
        <v>LEVEL5</v>
      </c>
      <c r="E79" s="75" t="str">
        <f>_xlfn.XLOOKUP(B79,'Product Hierarchy'!A:A,'Product Hierarchy'!E:E)</f>
        <v>Drywall Auto Tools</v>
      </c>
      <c r="F79" s="75" t="str">
        <f>_xlfn.XLOOKUP(B79,'Product Hierarchy'!A:A,'Product Hierarchy'!F:F)</f>
        <v>Handles</v>
      </c>
      <c r="G79" s="76">
        <v>86.99</v>
      </c>
      <c r="H79" s="76">
        <v>73.94</v>
      </c>
      <c r="I79" s="6">
        <v>51.76</v>
      </c>
      <c r="J79" s="5" t="s">
        <v>26</v>
      </c>
      <c r="K79" s="5">
        <v>6</v>
      </c>
      <c r="L79" s="5">
        <v>6</v>
      </c>
      <c r="M79" s="45"/>
      <c r="N79" s="24">
        <f t="shared" si="1"/>
        <v>0</v>
      </c>
      <c r="O79" s="97"/>
    </row>
    <row r="80" spans="1:15" x14ac:dyDescent="0.25">
      <c r="A80" s="104">
        <v>449549</v>
      </c>
      <c r="B80" s="4" t="s">
        <v>230</v>
      </c>
      <c r="C80" s="4" t="s">
        <v>231</v>
      </c>
      <c r="D80" s="75" t="str">
        <f>_xlfn.XLOOKUP(B80,'Product Hierarchy'!A:A,'Product Hierarchy'!C:C)</f>
        <v>LEVEL5</v>
      </c>
      <c r="E80" s="75" t="str">
        <f>_xlfn.XLOOKUP(B80,'Product Hierarchy'!A:A,'Product Hierarchy'!E:E)</f>
        <v>Drywall Auto Tools</v>
      </c>
      <c r="F80" s="75" t="str">
        <f>_xlfn.XLOOKUP(B80,'Product Hierarchy'!A:A,'Product Hierarchy'!F:F)</f>
        <v>Handles</v>
      </c>
      <c r="G80" s="76">
        <v>108.49</v>
      </c>
      <c r="H80" s="76">
        <v>92.22</v>
      </c>
      <c r="I80" s="6">
        <v>64.55</v>
      </c>
      <c r="J80" s="5" t="s">
        <v>26</v>
      </c>
      <c r="K80" s="5">
        <v>6</v>
      </c>
      <c r="L80" s="5">
        <v>24</v>
      </c>
      <c r="M80" s="43"/>
      <c r="N80" s="24">
        <f t="shared" si="1"/>
        <v>0</v>
      </c>
      <c r="O80" s="97"/>
    </row>
    <row r="81" spans="1:15" x14ac:dyDescent="0.25">
      <c r="A81" s="104">
        <v>449553</v>
      </c>
      <c r="B81" s="4" t="s">
        <v>232</v>
      </c>
      <c r="C81" s="4" t="s">
        <v>233</v>
      </c>
      <c r="D81" s="75" t="str">
        <f>_xlfn.XLOOKUP(B81,'Product Hierarchy'!A:A,'Product Hierarchy'!C:C)</f>
        <v>LEVEL5</v>
      </c>
      <c r="E81" s="75" t="str">
        <f>_xlfn.XLOOKUP(B81,'Product Hierarchy'!A:A,'Product Hierarchy'!E:E)</f>
        <v>Drywall Auto Tools</v>
      </c>
      <c r="F81" s="75" t="str">
        <f>_xlfn.XLOOKUP(B81,'Product Hierarchy'!A:A,'Product Hierarchy'!F:F)</f>
        <v>Handles</v>
      </c>
      <c r="G81" s="76">
        <v>108.49</v>
      </c>
      <c r="H81" s="76">
        <v>92.22</v>
      </c>
      <c r="I81" s="6">
        <v>64.55</v>
      </c>
      <c r="J81" s="5" t="s">
        <v>26</v>
      </c>
      <c r="K81" s="5">
        <v>6</v>
      </c>
      <c r="L81" s="5">
        <v>24</v>
      </c>
      <c r="M81" s="43"/>
      <c r="N81" s="24">
        <f t="shared" si="1"/>
        <v>0</v>
      </c>
      <c r="O81" s="97"/>
    </row>
    <row r="82" spans="1:15" x14ac:dyDescent="0.25">
      <c r="A82" s="104">
        <v>449557</v>
      </c>
      <c r="B82" s="4" t="s">
        <v>234</v>
      </c>
      <c r="C82" s="4" t="s">
        <v>235</v>
      </c>
      <c r="D82" s="75" t="str">
        <f>_xlfn.XLOOKUP(B82,'Product Hierarchy'!A:A,'Product Hierarchy'!C:C)</f>
        <v>LEVEL5</v>
      </c>
      <c r="E82" s="75" t="str">
        <f>_xlfn.XLOOKUP(B82,'Product Hierarchy'!A:A,'Product Hierarchy'!E:E)</f>
        <v>Drywall Auto Tools</v>
      </c>
      <c r="F82" s="75" t="str">
        <f>_xlfn.XLOOKUP(B82,'Product Hierarchy'!A:A,'Product Hierarchy'!F:F)</f>
        <v>Handles</v>
      </c>
      <c r="G82" s="76">
        <v>108.49</v>
      </c>
      <c r="H82" s="76">
        <v>92.22</v>
      </c>
      <c r="I82" s="6">
        <v>64.55</v>
      </c>
      <c r="J82" s="5" t="s">
        <v>26</v>
      </c>
      <c r="K82" s="5">
        <v>6</v>
      </c>
      <c r="L82" s="5">
        <v>24</v>
      </c>
      <c r="M82" s="43"/>
      <c r="N82" s="24">
        <f t="shared" si="1"/>
        <v>0</v>
      </c>
      <c r="O82" s="97"/>
    </row>
    <row r="83" spans="1:15" x14ac:dyDescent="0.25">
      <c r="A83" s="104">
        <v>449559</v>
      </c>
      <c r="B83" s="4" t="s">
        <v>236</v>
      </c>
      <c r="C83" s="4" t="s">
        <v>237</v>
      </c>
      <c r="D83" s="75" t="str">
        <f>_xlfn.XLOOKUP(B83,'Product Hierarchy'!A:A,'Product Hierarchy'!C:C)</f>
        <v>LEVEL5</v>
      </c>
      <c r="E83" s="75" t="str">
        <f>_xlfn.XLOOKUP(B83,'Product Hierarchy'!A:A,'Product Hierarchy'!E:E)</f>
        <v>Drywall Auto Tools</v>
      </c>
      <c r="F83" s="75" t="str">
        <f>_xlfn.XLOOKUP(B83,'Product Hierarchy'!A:A,'Product Hierarchy'!F:F)</f>
        <v>Handles</v>
      </c>
      <c r="G83" s="76">
        <v>357.49</v>
      </c>
      <c r="H83" s="76">
        <v>303.87</v>
      </c>
      <c r="I83" s="6">
        <v>212.71</v>
      </c>
      <c r="J83" s="5" t="s">
        <v>26</v>
      </c>
      <c r="K83" s="5">
        <v>6</v>
      </c>
      <c r="L83" s="5">
        <v>6</v>
      </c>
      <c r="M83" s="43"/>
      <c r="N83" s="24">
        <f t="shared" si="1"/>
        <v>0</v>
      </c>
      <c r="O83" s="97"/>
    </row>
    <row r="84" spans="1:15" x14ac:dyDescent="0.25">
      <c r="A84" s="104">
        <v>449561</v>
      </c>
      <c r="B84" s="4" t="s">
        <v>238</v>
      </c>
      <c r="C84" s="4" t="s">
        <v>239</v>
      </c>
      <c r="D84" s="75" t="str">
        <f>_xlfn.XLOOKUP(B84,'Product Hierarchy'!A:A,'Product Hierarchy'!C:C)</f>
        <v>LEVEL5</v>
      </c>
      <c r="E84" s="75" t="str">
        <f>_xlfn.XLOOKUP(B84,'Product Hierarchy'!A:A,'Product Hierarchy'!E:E)</f>
        <v>Drywall Auto Tools</v>
      </c>
      <c r="F84" s="75" t="str">
        <f>_xlfn.XLOOKUP(B84,'Product Hierarchy'!A:A,'Product Hierarchy'!F:F)</f>
        <v>Handles</v>
      </c>
      <c r="G84" s="76">
        <v>346.49</v>
      </c>
      <c r="H84" s="76">
        <v>294.52</v>
      </c>
      <c r="I84" s="6">
        <v>206.16</v>
      </c>
      <c r="J84" s="5" t="s">
        <v>26</v>
      </c>
      <c r="K84" s="5">
        <v>6</v>
      </c>
      <c r="L84" s="5">
        <v>6</v>
      </c>
      <c r="M84" s="43"/>
      <c r="N84" s="24">
        <f t="shared" si="1"/>
        <v>0</v>
      </c>
      <c r="O84" s="97"/>
    </row>
    <row r="85" spans="1:15" x14ac:dyDescent="0.25">
      <c r="A85" s="104">
        <v>449563</v>
      </c>
      <c r="B85" s="4" t="s">
        <v>240</v>
      </c>
      <c r="C85" s="4" t="s">
        <v>241</v>
      </c>
      <c r="D85" s="75" t="str">
        <f>_xlfn.XLOOKUP(B85,'Product Hierarchy'!A:A,'Product Hierarchy'!C:C)</f>
        <v>LEVEL5</v>
      </c>
      <c r="E85" s="75" t="str">
        <f>_xlfn.XLOOKUP(B85,'Product Hierarchy'!A:A,'Product Hierarchy'!E:E)</f>
        <v>Drywall Auto Tools</v>
      </c>
      <c r="F85" s="75" t="str">
        <f>_xlfn.XLOOKUP(B85,'Product Hierarchy'!A:A,'Product Hierarchy'!F:F)</f>
        <v>Handles</v>
      </c>
      <c r="G85" s="76">
        <v>324.99</v>
      </c>
      <c r="H85" s="76">
        <v>276.24</v>
      </c>
      <c r="I85" s="6">
        <v>193.37</v>
      </c>
      <c r="J85" s="5" t="s">
        <v>26</v>
      </c>
      <c r="K85" s="5">
        <v>6</v>
      </c>
      <c r="L85" s="5">
        <v>6</v>
      </c>
      <c r="M85" s="43"/>
      <c r="N85" s="24">
        <f t="shared" si="1"/>
        <v>0</v>
      </c>
      <c r="O85" s="97"/>
    </row>
    <row r="86" spans="1:15" x14ac:dyDescent="0.25">
      <c r="A86" s="104">
        <v>449566</v>
      </c>
      <c r="B86" s="4" t="s">
        <v>242</v>
      </c>
      <c r="C86" s="4" t="s">
        <v>243</v>
      </c>
      <c r="D86" s="75" t="str">
        <f>_xlfn.XLOOKUP(B86,'Product Hierarchy'!A:A,'Product Hierarchy'!C:C)</f>
        <v>LEVEL5</v>
      </c>
      <c r="E86" s="75" t="str">
        <f>_xlfn.XLOOKUP(B86,'Product Hierarchy'!A:A,'Product Hierarchy'!E:E)</f>
        <v>Drywall Auto Tools</v>
      </c>
      <c r="F86" s="75" t="str">
        <f>_xlfn.XLOOKUP(B86,'Product Hierarchy'!A:A,'Product Hierarchy'!F:F)</f>
        <v>Handles</v>
      </c>
      <c r="G86" s="76">
        <v>210.98000000000002</v>
      </c>
      <c r="H86" s="76">
        <v>179.33</v>
      </c>
      <c r="I86" s="6">
        <v>125.53</v>
      </c>
      <c r="J86" s="5" t="s">
        <v>26</v>
      </c>
      <c r="K86" s="5">
        <v>6</v>
      </c>
      <c r="L86" s="5">
        <v>6</v>
      </c>
      <c r="M86" s="43"/>
      <c r="N86" s="24">
        <f t="shared" si="1"/>
        <v>0</v>
      </c>
      <c r="O86" s="97"/>
    </row>
    <row r="87" spans="1:15" x14ac:dyDescent="0.25">
      <c r="A87" s="104">
        <v>449568</v>
      </c>
      <c r="B87" s="4" t="s">
        <v>244</v>
      </c>
      <c r="C87" s="4" t="s">
        <v>245</v>
      </c>
      <c r="D87" s="75" t="str">
        <f>_xlfn.XLOOKUP(B87,'Product Hierarchy'!A:A,'Product Hierarchy'!C:C)</f>
        <v>LEVEL5</v>
      </c>
      <c r="E87" s="75" t="str">
        <f>_xlfn.XLOOKUP(B87,'Product Hierarchy'!A:A,'Product Hierarchy'!E:E)</f>
        <v>Drywall Auto Tools</v>
      </c>
      <c r="F87" s="75" t="str">
        <f>_xlfn.XLOOKUP(B87,'Product Hierarchy'!A:A,'Product Hierarchy'!F:F)</f>
        <v>Handles</v>
      </c>
      <c r="G87" s="76">
        <v>205.98000000000002</v>
      </c>
      <c r="H87" s="76">
        <v>175.08</v>
      </c>
      <c r="I87" s="6">
        <v>122.56</v>
      </c>
      <c r="J87" s="5" t="s">
        <v>26</v>
      </c>
      <c r="K87" s="5">
        <v>6</v>
      </c>
      <c r="L87" s="5">
        <v>6</v>
      </c>
      <c r="M87" s="43"/>
      <c r="N87" s="24">
        <f t="shared" si="1"/>
        <v>0</v>
      </c>
      <c r="O87" s="97"/>
    </row>
    <row r="88" spans="1:15" x14ac:dyDescent="0.25">
      <c r="A88" s="104">
        <v>449570</v>
      </c>
      <c r="B88" s="4" t="s">
        <v>246</v>
      </c>
      <c r="C88" s="4" t="s">
        <v>247</v>
      </c>
      <c r="D88" s="75" t="str">
        <f>_xlfn.XLOOKUP(B88,'Product Hierarchy'!A:A,'Product Hierarchy'!C:C)</f>
        <v>LEVEL5</v>
      </c>
      <c r="E88" s="75" t="str">
        <f>_xlfn.XLOOKUP(B88,'Product Hierarchy'!A:A,'Product Hierarchy'!E:E)</f>
        <v>Drywall Auto Tools</v>
      </c>
      <c r="F88" s="75" t="str">
        <f>_xlfn.XLOOKUP(B88,'Product Hierarchy'!A:A,'Product Hierarchy'!F:F)</f>
        <v>Handles</v>
      </c>
      <c r="G88" s="76">
        <v>219.98000000000002</v>
      </c>
      <c r="H88" s="76">
        <v>186.98</v>
      </c>
      <c r="I88" s="6">
        <v>130.88999999999999</v>
      </c>
      <c r="J88" s="5" t="s">
        <v>26</v>
      </c>
      <c r="K88" s="5">
        <v>6</v>
      </c>
      <c r="L88" s="5">
        <v>6</v>
      </c>
      <c r="M88" s="43"/>
      <c r="N88" s="24">
        <f t="shared" si="1"/>
        <v>0</v>
      </c>
      <c r="O88" s="97"/>
    </row>
    <row r="89" spans="1:15" x14ac:dyDescent="0.25">
      <c r="A89" s="104">
        <v>449572</v>
      </c>
      <c r="B89" s="4" t="s">
        <v>248</v>
      </c>
      <c r="C89" s="4" t="s">
        <v>249</v>
      </c>
      <c r="D89" s="75" t="str">
        <f>_xlfn.XLOOKUP(B89,'Product Hierarchy'!A:A,'Product Hierarchy'!C:C)</f>
        <v>LEVEL5</v>
      </c>
      <c r="E89" s="75" t="str">
        <f>_xlfn.XLOOKUP(B89,'Product Hierarchy'!A:A,'Product Hierarchy'!E:E)</f>
        <v>Drywall Auto Tools</v>
      </c>
      <c r="F89" s="75" t="str">
        <f>_xlfn.XLOOKUP(B89,'Product Hierarchy'!A:A,'Product Hierarchy'!F:F)</f>
        <v>Handles</v>
      </c>
      <c r="G89" s="76">
        <v>232.98000000000002</v>
      </c>
      <c r="H89" s="76">
        <v>198.03</v>
      </c>
      <c r="I89" s="6">
        <v>138.62</v>
      </c>
      <c r="J89" s="5" t="s">
        <v>26</v>
      </c>
      <c r="K89" s="5">
        <v>6</v>
      </c>
      <c r="L89" s="5">
        <v>6</v>
      </c>
      <c r="M89" s="43"/>
      <c r="N89" s="24">
        <f t="shared" si="1"/>
        <v>0</v>
      </c>
      <c r="O89" s="97"/>
    </row>
    <row r="90" spans="1:15" x14ac:dyDescent="0.25">
      <c r="A90" s="104">
        <v>449574</v>
      </c>
      <c r="B90" s="4" t="s">
        <v>250</v>
      </c>
      <c r="C90" s="4" t="s">
        <v>251</v>
      </c>
      <c r="D90" s="75" t="str">
        <f>_xlfn.XLOOKUP(B90,'Product Hierarchy'!A:A,'Product Hierarchy'!C:C)</f>
        <v>LEVEL5</v>
      </c>
      <c r="E90" s="75" t="str">
        <f>_xlfn.XLOOKUP(B90,'Product Hierarchy'!A:A,'Product Hierarchy'!E:E)</f>
        <v>Drywall Auto Tools</v>
      </c>
      <c r="F90" s="75" t="str">
        <f>_xlfn.XLOOKUP(B90,'Product Hierarchy'!A:A,'Product Hierarchy'!F:F)</f>
        <v>Handles</v>
      </c>
      <c r="G90" s="76">
        <v>227.98000000000002</v>
      </c>
      <c r="H90" s="76">
        <v>193.78</v>
      </c>
      <c r="I90" s="6">
        <v>135.65</v>
      </c>
      <c r="J90" s="5" t="s">
        <v>26</v>
      </c>
      <c r="K90" s="5">
        <v>6</v>
      </c>
      <c r="L90" s="5">
        <v>6</v>
      </c>
      <c r="M90" s="43"/>
      <c r="N90" s="24">
        <f t="shared" si="1"/>
        <v>0</v>
      </c>
      <c r="O90" s="97"/>
    </row>
    <row r="91" spans="1:15" x14ac:dyDescent="0.25">
      <c r="A91" s="104">
        <v>449576</v>
      </c>
      <c r="B91" s="4" t="s">
        <v>252</v>
      </c>
      <c r="C91" s="4" t="s">
        <v>253</v>
      </c>
      <c r="D91" s="75" t="str">
        <f>_xlfn.XLOOKUP(B91,'Product Hierarchy'!A:A,'Product Hierarchy'!C:C)</f>
        <v>LEVEL5</v>
      </c>
      <c r="E91" s="75" t="str">
        <f>_xlfn.XLOOKUP(B91,'Product Hierarchy'!A:A,'Product Hierarchy'!E:E)</f>
        <v>Drywall Auto Tools</v>
      </c>
      <c r="F91" s="75" t="str">
        <f>_xlfn.XLOOKUP(B91,'Product Hierarchy'!A:A,'Product Hierarchy'!F:F)</f>
        <v>Handles</v>
      </c>
      <c r="G91" s="76">
        <v>241.98000000000002</v>
      </c>
      <c r="H91" s="76">
        <v>205.68</v>
      </c>
      <c r="I91" s="6">
        <v>143.97999999999999</v>
      </c>
      <c r="J91" s="5" t="s">
        <v>26</v>
      </c>
      <c r="K91" s="5">
        <v>6</v>
      </c>
      <c r="L91" s="5">
        <v>6</v>
      </c>
      <c r="M91" s="43"/>
      <c r="N91" s="24">
        <f t="shared" si="1"/>
        <v>0</v>
      </c>
      <c r="O91" s="97"/>
    </row>
    <row r="92" spans="1:15" x14ac:dyDescent="0.25">
      <c r="A92" s="104">
        <v>449609</v>
      </c>
      <c r="B92" s="4" t="s">
        <v>254</v>
      </c>
      <c r="C92" s="4" t="s">
        <v>255</v>
      </c>
      <c r="D92" s="75" t="str">
        <f>_xlfn.XLOOKUP(B92,'Product Hierarchy'!A:A,'Product Hierarchy'!C:C)</f>
        <v>LEVEL5</v>
      </c>
      <c r="E92" s="75" t="str">
        <f>_xlfn.XLOOKUP(B92,'Product Hierarchy'!A:A,'Product Hierarchy'!E:E)</f>
        <v>Drywall Auto Tools</v>
      </c>
      <c r="F92" s="75" t="str">
        <f>_xlfn.XLOOKUP(B92,'Product Hierarchy'!A:A,'Product Hierarchy'!F:F)</f>
        <v>Handles</v>
      </c>
      <c r="G92" s="76">
        <v>48.49</v>
      </c>
      <c r="H92" s="76">
        <v>41.22</v>
      </c>
      <c r="I92" s="6">
        <v>28.85</v>
      </c>
      <c r="J92" s="5" t="s">
        <v>26</v>
      </c>
      <c r="K92" s="5">
        <v>1</v>
      </c>
      <c r="L92" s="5">
        <v>60</v>
      </c>
      <c r="M92" s="43"/>
      <c r="N92" s="24">
        <f t="shared" si="1"/>
        <v>0</v>
      </c>
      <c r="O92" s="97"/>
    </row>
    <row r="93" spans="1:15" x14ac:dyDescent="0.25">
      <c r="A93" s="104">
        <v>449611</v>
      </c>
      <c r="B93" s="4" t="s">
        <v>256</v>
      </c>
      <c r="C93" s="4" t="s">
        <v>257</v>
      </c>
      <c r="D93" s="75" t="str">
        <f>_xlfn.XLOOKUP(B93,'Product Hierarchy'!A:A,'Product Hierarchy'!C:C)</f>
        <v>LEVEL5</v>
      </c>
      <c r="E93" s="75" t="str">
        <f>_xlfn.XLOOKUP(B93,'Product Hierarchy'!A:A,'Product Hierarchy'!E:E)</f>
        <v>Drywall Auto Tools</v>
      </c>
      <c r="F93" s="75" t="str">
        <f>_xlfn.XLOOKUP(B93,'Product Hierarchy'!A:A,'Product Hierarchy'!F:F)</f>
        <v>Handles</v>
      </c>
      <c r="G93" s="76">
        <v>43.49</v>
      </c>
      <c r="H93" s="76">
        <v>36.97</v>
      </c>
      <c r="I93" s="6">
        <v>25.88</v>
      </c>
      <c r="J93" s="5" t="s">
        <v>26</v>
      </c>
      <c r="K93" s="5">
        <v>1</v>
      </c>
      <c r="L93" s="5">
        <v>60</v>
      </c>
      <c r="M93" s="43"/>
      <c r="N93" s="24">
        <f t="shared" si="1"/>
        <v>0</v>
      </c>
      <c r="O93" s="97"/>
    </row>
    <row r="94" spans="1:15" x14ac:dyDescent="0.25">
      <c r="A94" s="104">
        <v>449612</v>
      </c>
      <c r="B94" s="4" t="s">
        <v>258</v>
      </c>
      <c r="C94" s="4" t="s">
        <v>259</v>
      </c>
      <c r="D94" s="75" t="str">
        <f>_xlfn.XLOOKUP(B94,'Product Hierarchy'!A:A,'Product Hierarchy'!C:C)</f>
        <v>LEVEL5</v>
      </c>
      <c r="E94" s="75" t="str">
        <f>_xlfn.XLOOKUP(B94,'Product Hierarchy'!A:A,'Product Hierarchy'!E:E)</f>
        <v>Drywall Auto Tools</v>
      </c>
      <c r="F94" s="75" t="str">
        <f>_xlfn.XLOOKUP(B94,'Product Hierarchy'!A:A,'Product Hierarchy'!F:F)</f>
        <v>Handles</v>
      </c>
      <c r="G94" s="76">
        <v>57.49</v>
      </c>
      <c r="H94" s="76">
        <v>48.87</v>
      </c>
      <c r="I94" s="6">
        <v>34.21</v>
      </c>
      <c r="J94" s="5" t="s">
        <v>26</v>
      </c>
      <c r="K94" s="5">
        <v>1</v>
      </c>
      <c r="L94" s="5">
        <v>60</v>
      </c>
      <c r="M94" s="43"/>
      <c r="N94" s="24">
        <f t="shared" si="1"/>
        <v>0</v>
      </c>
      <c r="O94" s="97"/>
    </row>
    <row r="95" spans="1:15" x14ac:dyDescent="0.25">
      <c r="A95" s="104">
        <v>449613</v>
      </c>
      <c r="B95" s="4" t="s">
        <v>260</v>
      </c>
      <c r="C95" s="4" t="s">
        <v>261</v>
      </c>
      <c r="D95" s="75" t="str">
        <f>_xlfn.XLOOKUP(B95,'Product Hierarchy'!A:A,'Product Hierarchy'!C:C)</f>
        <v>LEVEL5</v>
      </c>
      <c r="E95" s="75" t="str">
        <f>_xlfn.XLOOKUP(B95,'Product Hierarchy'!A:A,'Product Hierarchy'!E:E)</f>
        <v>Drywall Auto Tools</v>
      </c>
      <c r="F95" s="75" t="str">
        <f>_xlfn.XLOOKUP(B95,'Product Hierarchy'!A:A,'Product Hierarchy'!F:F)</f>
        <v>Handles</v>
      </c>
      <c r="G95" s="76">
        <v>162.49</v>
      </c>
      <c r="H95" s="76">
        <v>138.12</v>
      </c>
      <c r="I95" s="6">
        <v>96.68</v>
      </c>
      <c r="J95" s="5" t="s">
        <v>26</v>
      </c>
      <c r="K95" s="5">
        <v>6</v>
      </c>
      <c r="L95" s="5">
        <v>6</v>
      </c>
      <c r="M95" s="43"/>
      <c r="N95" s="24">
        <f t="shared" si="1"/>
        <v>0</v>
      </c>
      <c r="O95" s="97"/>
    </row>
    <row r="96" spans="1:15" x14ac:dyDescent="0.25">
      <c r="A96" s="104">
        <v>449615</v>
      </c>
      <c r="B96" s="4" t="s">
        <v>262</v>
      </c>
      <c r="C96" s="4" t="s">
        <v>263</v>
      </c>
      <c r="D96" s="75" t="str">
        <f>_xlfn.XLOOKUP(B96,'Product Hierarchy'!A:A,'Product Hierarchy'!C:C)</f>
        <v>LEVEL5</v>
      </c>
      <c r="E96" s="75" t="str">
        <f>_xlfn.XLOOKUP(B96,'Product Hierarchy'!A:A,'Product Hierarchy'!E:E)</f>
        <v>Drywall Auto Tools</v>
      </c>
      <c r="F96" s="75" t="str">
        <f>_xlfn.XLOOKUP(B96,'Product Hierarchy'!A:A,'Product Hierarchy'!F:F)</f>
        <v>Handles</v>
      </c>
      <c r="G96" s="76">
        <v>184.49</v>
      </c>
      <c r="H96" s="76">
        <v>156.82</v>
      </c>
      <c r="I96" s="6">
        <v>109.77</v>
      </c>
      <c r="J96" s="5" t="s">
        <v>26</v>
      </c>
      <c r="K96" s="5">
        <v>6</v>
      </c>
      <c r="L96" s="5">
        <v>6</v>
      </c>
      <c r="M96" s="43"/>
      <c r="N96" s="24">
        <f t="shared" si="1"/>
        <v>0</v>
      </c>
      <c r="O96" s="97"/>
    </row>
    <row r="97" spans="1:15" x14ac:dyDescent="0.25">
      <c r="A97" s="104">
        <v>449621</v>
      </c>
      <c r="B97" s="75" t="s">
        <v>771</v>
      </c>
      <c r="C97" s="75" t="s">
        <v>772</v>
      </c>
      <c r="D97" s="75" t="str">
        <f>_xlfn.XLOOKUP(B97,'Product Hierarchy'!A:A,'Product Hierarchy'!C:C)</f>
        <v>LEVEL5</v>
      </c>
      <c r="E97" s="75" t="str">
        <f>_xlfn.XLOOKUP(B97,'Product Hierarchy'!A:A,'Product Hierarchy'!E:E)</f>
        <v>Drywall Hand Tools</v>
      </c>
      <c r="F97" s="75" t="str">
        <f>_xlfn.XLOOKUP(B97,'Product Hierarchy'!A:A,'Product Hierarchy'!F:F)</f>
        <v>Rollers</v>
      </c>
      <c r="G97" s="76">
        <v>20.99</v>
      </c>
      <c r="H97" s="76">
        <v>18.89</v>
      </c>
      <c r="I97" s="6">
        <v>13.22</v>
      </c>
      <c r="J97" s="5" t="s">
        <v>26</v>
      </c>
      <c r="K97" s="5">
        <v>12</v>
      </c>
      <c r="L97" s="5">
        <v>48</v>
      </c>
      <c r="M97" s="43"/>
      <c r="N97" s="24">
        <f t="shared" si="1"/>
        <v>0</v>
      </c>
      <c r="O97" s="97"/>
    </row>
    <row r="98" spans="1:15" x14ac:dyDescent="0.25">
      <c r="A98" s="104">
        <v>449622</v>
      </c>
      <c r="B98" s="75" t="s">
        <v>773</v>
      </c>
      <c r="C98" s="75" t="s">
        <v>774</v>
      </c>
      <c r="D98" s="75" t="str">
        <f>_xlfn.XLOOKUP(B98,'Product Hierarchy'!A:A,'Product Hierarchy'!C:C)</f>
        <v>LEVEL5</v>
      </c>
      <c r="E98" s="75" t="str">
        <f>_xlfn.XLOOKUP(B98,'Product Hierarchy'!A:A,'Product Hierarchy'!E:E)</f>
        <v>Drywall Hand Tools</v>
      </c>
      <c r="F98" s="75" t="str">
        <f>_xlfn.XLOOKUP(B98,'Product Hierarchy'!A:A,'Product Hierarchy'!F:F)</f>
        <v>Rollers</v>
      </c>
      <c r="G98" s="76">
        <v>22.99</v>
      </c>
      <c r="H98" s="76">
        <v>20.69</v>
      </c>
      <c r="I98" s="6">
        <v>14.48</v>
      </c>
      <c r="J98" s="5" t="s">
        <v>26</v>
      </c>
      <c r="K98" s="5">
        <v>12</v>
      </c>
      <c r="L98" s="5">
        <v>48</v>
      </c>
      <c r="M98" s="43"/>
      <c r="N98" s="24">
        <f t="shared" si="1"/>
        <v>0</v>
      </c>
      <c r="O98" s="97"/>
    </row>
    <row r="99" spans="1:15" x14ac:dyDescent="0.25">
      <c r="A99" s="104">
        <v>449623</v>
      </c>
      <c r="B99" s="4" t="s">
        <v>1518</v>
      </c>
      <c r="C99" s="4" t="s">
        <v>1519</v>
      </c>
      <c r="D99" s="75" t="str">
        <f>_xlfn.XLOOKUP(B99,'Product Hierarchy'!A:A,'Product Hierarchy'!C:C)</f>
        <v>LEVEL5</v>
      </c>
      <c r="E99" s="75" t="str">
        <f>_xlfn.XLOOKUP(B99,'Product Hierarchy'!A:A,'Product Hierarchy'!E:E)</f>
        <v>Drywall Hand Tools</v>
      </c>
      <c r="F99" s="75" t="str">
        <f>_xlfn.XLOOKUP(B99,'Product Hierarchy'!A:A,'Product Hierarchy'!F:F)</f>
        <v>Rollers</v>
      </c>
      <c r="G99" s="76">
        <v>15.49</v>
      </c>
      <c r="H99" s="76">
        <v>13.94</v>
      </c>
      <c r="I99" s="6">
        <v>9.76</v>
      </c>
      <c r="J99" s="5" t="s">
        <v>26</v>
      </c>
      <c r="K99" s="5">
        <v>6</v>
      </c>
      <c r="L99" s="5">
        <v>24</v>
      </c>
      <c r="M99" s="45"/>
      <c r="N99" s="24">
        <f t="shared" si="1"/>
        <v>0</v>
      </c>
      <c r="O99" s="97"/>
    </row>
    <row r="100" spans="1:15" x14ac:dyDescent="0.25">
      <c r="A100" s="104">
        <v>449624</v>
      </c>
      <c r="B100" s="4" t="s">
        <v>1520</v>
      </c>
      <c r="C100" s="4" t="s">
        <v>1521</v>
      </c>
      <c r="D100" s="75" t="str">
        <f>_xlfn.XLOOKUP(B100,'Product Hierarchy'!A:A,'Product Hierarchy'!C:C)</f>
        <v>LEVEL5</v>
      </c>
      <c r="E100" s="75" t="str">
        <f>_xlfn.XLOOKUP(B100,'Product Hierarchy'!A:A,'Product Hierarchy'!E:E)</f>
        <v>Drywall Hand Tools</v>
      </c>
      <c r="F100" s="75" t="str">
        <f>_xlfn.XLOOKUP(B100,'Product Hierarchy'!A:A,'Product Hierarchy'!F:F)</f>
        <v>Rollers</v>
      </c>
      <c r="G100" s="76">
        <v>16.489999999999998</v>
      </c>
      <c r="H100" s="76">
        <v>14.84</v>
      </c>
      <c r="I100" s="6">
        <v>10.39</v>
      </c>
      <c r="J100" s="5" t="s">
        <v>26</v>
      </c>
      <c r="K100" s="5">
        <v>6</v>
      </c>
      <c r="L100" s="5">
        <v>24</v>
      </c>
      <c r="M100" s="45"/>
      <c r="N100" s="24">
        <f t="shared" si="1"/>
        <v>0</v>
      </c>
      <c r="O100" s="97"/>
    </row>
    <row r="101" spans="1:15" x14ac:dyDescent="0.25">
      <c r="A101" s="104">
        <v>449625</v>
      </c>
      <c r="B101" s="75" t="s">
        <v>775</v>
      </c>
      <c r="C101" s="75" t="s">
        <v>776</v>
      </c>
      <c r="D101" s="75" t="str">
        <f>_xlfn.XLOOKUP(B101,'Product Hierarchy'!A:A,'Product Hierarchy'!C:C)</f>
        <v>LEVEL5</v>
      </c>
      <c r="E101" s="75" t="str">
        <f>_xlfn.XLOOKUP(B101,'Product Hierarchy'!A:A,'Product Hierarchy'!E:E)</f>
        <v>Drywall Hand Tools</v>
      </c>
      <c r="F101" s="75" t="str">
        <f>_xlfn.XLOOKUP(B101,'Product Hierarchy'!A:A,'Product Hierarchy'!F:F)</f>
        <v>Rollers</v>
      </c>
      <c r="G101" s="76">
        <v>36.479999999999997</v>
      </c>
      <c r="H101" s="76">
        <v>32.83</v>
      </c>
      <c r="I101" s="6">
        <v>22.98</v>
      </c>
      <c r="J101" s="5" t="s">
        <v>26</v>
      </c>
      <c r="K101" s="5">
        <v>6</v>
      </c>
      <c r="L101" s="5">
        <v>24</v>
      </c>
      <c r="M101" s="43"/>
      <c r="N101" s="24">
        <f t="shared" si="1"/>
        <v>0</v>
      </c>
      <c r="O101" s="97"/>
    </row>
    <row r="102" spans="1:15" x14ac:dyDescent="0.25">
      <c r="A102" s="104">
        <v>449626</v>
      </c>
      <c r="B102" s="75" t="s">
        <v>777</v>
      </c>
      <c r="C102" s="75" t="s">
        <v>778</v>
      </c>
      <c r="D102" s="75" t="str">
        <f>_xlfn.XLOOKUP(B102,'Product Hierarchy'!A:A,'Product Hierarchy'!C:C)</f>
        <v>LEVEL5</v>
      </c>
      <c r="E102" s="75" t="str">
        <f>_xlfn.XLOOKUP(B102,'Product Hierarchy'!A:A,'Product Hierarchy'!E:E)</f>
        <v>Drywall Hand Tools</v>
      </c>
      <c r="F102" s="75" t="str">
        <f>_xlfn.XLOOKUP(B102,'Product Hierarchy'!A:A,'Product Hierarchy'!F:F)</f>
        <v>Rollers</v>
      </c>
      <c r="G102" s="76">
        <v>39.479999999999997</v>
      </c>
      <c r="H102" s="76">
        <v>35.53</v>
      </c>
      <c r="I102" s="6">
        <v>24.87</v>
      </c>
      <c r="J102" s="5" t="s">
        <v>26</v>
      </c>
      <c r="K102" s="5">
        <v>6</v>
      </c>
      <c r="L102" s="5">
        <v>24</v>
      </c>
      <c r="M102" s="43"/>
      <c r="N102" s="24">
        <f t="shared" si="1"/>
        <v>0</v>
      </c>
      <c r="O102" s="97"/>
    </row>
    <row r="103" spans="1:15" x14ac:dyDescent="0.25">
      <c r="A103" s="104">
        <v>449627</v>
      </c>
      <c r="B103" s="75" t="s">
        <v>25</v>
      </c>
      <c r="C103" s="75" t="s">
        <v>644</v>
      </c>
      <c r="D103" s="75" t="str">
        <f>_xlfn.XLOOKUP(B103,'Product Hierarchy'!A:A,'Product Hierarchy'!C:C)</f>
        <v>LEVEL5</v>
      </c>
      <c r="E103" s="75" t="str">
        <f>_xlfn.XLOOKUP(B103,'Product Hierarchy'!A:A,'Product Hierarchy'!E:E)</f>
        <v>Drywall Semi Auto Tools</v>
      </c>
      <c r="F103" s="75" t="str">
        <f>_xlfn.XLOOKUP(B103,'Product Hierarchy'!A:A,'Product Hierarchy'!F:F)</f>
        <v>Skimming Blades</v>
      </c>
      <c r="G103" s="76">
        <v>50.99</v>
      </c>
      <c r="H103" s="76">
        <v>45.89</v>
      </c>
      <c r="I103" s="6">
        <v>32.119999999999997</v>
      </c>
      <c r="J103" s="5" t="s">
        <v>26</v>
      </c>
      <c r="K103" s="5">
        <v>1</v>
      </c>
      <c r="L103" s="5">
        <v>12</v>
      </c>
      <c r="M103" s="43"/>
      <c r="N103" s="24">
        <f t="shared" si="1"/>
        <v>0</v>
      </c>
      <c r="O103" s="97"/>
    </row>
    <row r="104" spans="1:15" x14ac:dyDescent="0.25">
      <c r="A104" s="104">
        <v>449629</v>
      </c>
      <c r="B104" s="4" t="s">
        <v>1656</v>
      </c>
      <c r="C104" s="4" t="s">
        <v>1657</v>
      </c>
      <c r="D104" s="75" t="str">
        <f>_xlfn.XLOOKUP(B104,'Product Hierarchy'!A:A,'Product Hierarchy'!C:C)</f>
        <v>LEVEL5</v>
      </c>
      <c r="E104" s="75" t="str">
        <f>_xlfn.XLOOKUP(B104,'Product Hierarchy'!A:A,'Product Hierarchy'!E:E)</f>
        <v>Drywall Semi Auto Tools</v>
      </c>
      <c r="F104" s="75" t="str">
        <f>_xlfn.XLOOKUP(B104,'Product Hierarchy'!A:A,'Product Hierarchy'!F:F)</f>
        <v>Handles</v>
      </c>
      <c r="G104" s="76">
        <v>6.49</v>
      </c>
      <c r="H104" s="76">
        <v>5.84</v>
      </c>
      <c r="I104" s="6">
        <v>4.09</v>
      </c>
      <c r="J104" s="5" t="s">
        <v>26</v>
      </c>
      <c r="K104" s="5">
        <v>1</v>
      </c>
      <c r="L104" s="5">
        <v>1</v>
      </c>
      <c r="M104" s="45"/>
      <c r="N104" s="24">
        <f t="shared" si="1"/>
        <v>0</v>
      </c>
      <c r="O104" s="97"/>
    </row>
    <row r="105" spans="1:15" x14ac:dyDescent="0.25">
      <c r="A105" s="104">
        <v>449630</v>
      </c>
      <c r="B105" s="75" t="s">
        <v>27</v>
      </c>
      <c r="C105" s="75" t="s">
        <v>645</v>
      </c>
      <c r="D105" s="75" t="str">
        <f>_xlfn.XLOOKUP(B105,'Product Hierarchy'!A:A,'Product Hierarchy'!C:C)</f>
        <v>LEVEL5</v>
      </c>
      <c r="E105" s="75" t="str">
        <f>_xlfn.XLOOKUP(B105,'Product Hierarchy'!A:A,'Product Hierarchy'!E:E)</f>
        <v>Drywall Semi Auto Tools</v>
      </c>
      <c r="F105" s="75" t="str">
        <f>_xlfn.XLOOKUP(B105,'Product Hierarchy'!A:A,'Product Hierarchy'!F:F)</f>
        <v>Skimming Blades</v>
      </c>
      <c r="G105" s="76">
        <v>58.49</v>
      </c>
      <c r="H105" s="76">
        <v>52.64</v>
      </c>
      <c r="I105" s="6">
        <v>36.85</v>
      </c>
      <c r="J105" s="5" t="s">
        <v>26</v>
      </c>
      <c r="K105" s="5">
        <v>1</v>
      </c>
      <c r="L105" s="5">
        <v>12</v>
      </c>
      <c r="M105" s="43"/>
      <c r="N105" s="24">
        <f t="shared" si="1"/>
        <v>0</v>
      </c>
      <c r="O105" s="97"/>
    </row>
    <row r="106" spans="1:15" x14ac:dyDescent="0.25">
      <c r="A106" s="104">
        <v>449631</v>
      </c>
      <c r="B106" s="75" t="s">
        <v>779</v>
      </c>
      <c r="C106" s="75" t="s">
        <v>780</v>
      </c>
      <c r="D106" s="75" t="str">
        <f>_xlfn.XLOOKUP(B106,'Product Hierarchy'!A:A,'Product Hierarchy'!C:C)</f>
        <v>LEVEL5</v>
      </c>
      <c r="E106" s="75" t="str">
        <f>_xlfn.XLOOKUP(B106,'Product Hierarchy'!A:A,'Product Hierarchy'!E:E)</f>
        <v>Drywall Semi Auto Tools</v>
      </c>
      <c r="F106" s="75" t="str">
        <f>_xlfn.XLOOKUP(B106,'Product Hierarchy'!A:A,'Product Hierarchy'!F:F)</f>
        <v>Skimming Blades</v>
      </c>
      <c r="G106" s="76">
        <v>41.99</v>
      </c>
      <c r="H106" s="76">
        <v>37.79</v>
      </c>
      <c r="I106" s="6">
        <v>26.45</v>
      </c>
      <c r="J106" s="5" t="s">
        <v>26</v>
      </c>
      <c r="K106" s="5">
        <v>2</v>
      </c>
      <c r="L106" s="5">
        <v>12</v>
      </c>
      <c r="M106" s="43"/>
      <c r="N106" s="24">
        <f t="shared" si="1"/>
        <v>0</v>
      </c>
      <c r="O106" s="97"/>
    </row>
    <row r="107" spans="1:15" x14ac:dyDescent="0.25">
      <c r="A107" s="104">
        <v>449634</v>
      </c>
      <c r="B107" s="75" t="s">
        <v>28</v>
      </c>
      <c r="C107" s="75" t="s">
        <v>646</v>
      </c>
      <c r="D107" s="75" t="str">
        <f>_xlfn.XLOOKUP(B107,'Product Hierarchy'!A:A,'Product Hierarchy'!C:C)</f>
        <v>LEVEL5</v>
      </c>
      <c r="E107" s="75" t="str">
        <f>_xlfn.XLOOKUP(B107,'Product Hierarchy'!A:A,'Product Hierarchy'!E:E)</f>
        <v>Drywall Semi Auto Tools</v>
      </c>
      <c r="F107" s="75" t="str">
        <f>_xlfn.XLOOKUP(B107,'Product Hierarchy'!A:A,'Product Hierarchy'!F:F)</f>
        <v>Skimming Blades</v>
      </c>
      <c r="G107" s="76">
        <v>73.489999999999995</v>
      </c>
      <c r="H107" s="76">
        <v>66.14</v>
      </c>
      <c r="I107" s="6">
        <v>46.3</v>
      </c>
      <c r="J107" s="5" t="s">
        <v>26</v>
      </c>
      <c r="K107" s="5">
        <v>1</v>
      </c>
      <c r="L107" s="5">
        <v>12</v>
      </c>
      <c r="M107" s="43"/>
      <c r="N107" s="24">
        <f t="shared" si="1"/>
        <v>0</v>
      </c>
      <c r="O107" s="97"/>
    </row>
    <row r="108" spans="1:15" x14ac:dyDescent="0.25">
      <c r="A108" s="104">
        <v>449635</v>
      </c>
      <c r="B108" s="75" t="s">
        <v>781</v>
      </c>
      <c r="C108" s="75" t="s">
        <v>782</v>
      </c>
      <c r="D108" s="75" t="str">
        <f>_xlfn.XLOOKUP(B108,'Product Hierarchy'!A:A,'Product Hierarchy'!C:C)</f>
        <v>LEVEL5</v>
      </c>
      <c r="E108" s="75" t="str">
        <f>_xlfn.XLOOKUP(B108,'Product Hierarchy'!A:A,'Product Hierarchy'!E:E)</f>
        <v>Drywall Semi Auto Tools</v>
      </c>
      <c r="F108" s="75" t="str">
        <f>_xlfn.XLOOKUP(B108,'Product Hierarchy'!A:A,'Product Hierarchy'!F:F)</f>
        <v>Skimming Blades</v>
      </c>
      <c r="G108" s="76">
        <v>52.49</v>
      </c>
      <c r="H108" s="76">
        <v>47.24</v>
      </c>
      <c r="I108" s="6">
        <v>33.07</v>
      </c>
      <c r="J108" s="5" t="s">
        <v>26</v>
      </c>
      <c r="K108" s="5">
        <v>2</v>
      </c>
      <c r="L108" s="5">
        <v>12</v>
      </c>
      <c r="M108" s="43"/>
      <c r="N108" s="24">
        <f t="shared" si="1"/>
        <v>0</v>
      </c>
      <c r="O108" s="97"/>
    </row>
    <row r="109" spans="1:15" x14ac:dyDescent="0.25">
      <c r="A109" s="104">
        <v>449638</v>
      </c>
      <c r="B109" s="75" t="s">
        <v>29</v>
      </c>
      <c r="C109" s="75" t="s">
        <v>647</v>
      </c>
      <c r="D109" s="75" t="str">
        <f>_xlfn.XLOOKUP(B109,'Product Hierarchy'!A:A,'Product Hierarchy'!C:C)</f>
        <v>LEVEL5</v>
      </c>
      <c r="E109" s="75" t="str">
        <f>_xlfn.XLOOKUP(B109,'Product Hierarchy'!A:A,'Product Hierarchy'!E:E)</f>
        <v>Drywall Semi Auto Tools</v>
      </c>
      <c r="F109" s="75" t="str">
        <f>_xlfn.XLOOKUP(B109,'Product Hierarchy'!A:A,'Product Hierarchy'!F:F)</f>
        <v>Skimming Blades</v>
      </c>
      <c r="G109" s="76">
        <v>82.99</v>
      </c>
      <c r="H109" s="76">
        <v>74.69</v>
      </c>
      <c r="I109" s="6">
        <v>52.28</v>
      </c>
      <c r="J109" s="5" t="s">
        <v>26</v>
      </c>
      <c r="K109" s="5">
        <v>1</v>
      </c>
      <c r="L109" s="5">
        <v>12</v>
      </c>
      <c r="M109" s="43"/>
      <c r="N109" s="24">
        <f t="shared" si="1"/>
        <v>0</v>
      </c>
      <c r="O109" s="97"/>
    </row>
    <row r="110" spans="1:15" x14ac:dyDescent="0.25">
      <c r="A110" s="104">
        <v>449639</v>
      </c>
      <c r="B110" s="75" t="s">
        <v>783</v>
      </c>
      <c r="C110" s="75" t="s">
        <v>784</v>
      </c>
      <c r="D110" s="75" t="str">
        <f>_xlfn.XLOOKUP(B110,'Product Hierarchy'!A:A,'Product Hierarchy'!C:C)</f>
        <v>LEVEL5</v>
      </c>
      <c r="E110" s="75" t="str">
        <f>_xlfn.XLOOKUP(B110,'Product Hierarchy'!A:A,'Product Hierarchy'!E:E)</f>
        <v>Drywall Semi Auto Tools</v>
      </c>
      <c r="F110" s="75" t="str">
        <f>_xlfn.XLOOKUP(B110,'Product Hierarchy'!A:A,'Product Hierarchy'!F:F)</f>
        <v>Skimming Blades</v>
      </c>
      <c r="G110" s="76">
        <v>60.49</v>
      </c>
      <c r="H110" s="76">
        <v>54.44</v>
      </c>
      <c r="I110" s="6">
        <v>38.11</v>
      </c>
      <c r="J110" s="5" t="s">
        <v>26</v>
      </c>
      <c r="K110" s="5">
        <v>2</v>
      </c>
      <c r="L110" s="5">
        <v>12</v>
      </c>
      <c r="M110" s="43"/>
      <c r="N110" s="24">
        <f t="shared" si="1"/>
        <v>0</v>
      </c>
      <c r="O110" s="97"/>
    </row>
    <row r="111" spans="1:15" x14ac:dyDescent="0.25">
      <c r="A111" s="104">
        <v>449642</v>
      </c>
      <c r="B111" s="75" t="s">
        <v>30</v>
      </c>
      <c r="C111" s="75" t="s">
        <v>648</v>
      </c>
      <c r="D111" s="75" t="str">
        <f>_xlfn.XLOOKUP(B111,'Product Hierarchy'!A:A,'Product Hierarchy'!C:C)</f>
        <v>LEVEL5</v>
      </c>
      <c r="E111" s="75" t="str">
        <f>_xlfn.XLOOKUP(B111,'Product Hierarchy'!A:A,'Product Hierarchy'!E:E)</f>
        <v>Drywall Semi Auto Tools</v>
      </c>
      <c r="F111" s="75" t="str">
        <f>_xlfn.XLOOKUP(B111,'Product Hierarchy'!A:A,'Product Hierarchy'!F:F)</f>
        <v>Skimming Blades</v>
      </c>
      <c r="G111" s="76">
        <v>107.49</v>
      </c>
      <c r="H111" s="76">
        <v>96.74</v>
      </c>
      <c r="I111" s="6">
        <v>67.72</v>
      </c>
      <c r="J111" s="5" t="s">
        <v>26</v>
      </c>
      <c r="K111" s="5">
        <v>1</v>
      </c>
      <c r="L111" s="5">
        <v>12</v>
      </c>
      <c r="M111" s="43"/>
      <c r="N111" s="24">
        <f t="shared" si="1"/>
        <v>0</v>
      </c>
      <c r="O111" s="97"/>
    </row>
    <row r="112" spans="1:15" x14ac:dyDescent="0.25">
      <c r="A112" s="104">
        <v>449643</v>
      </c>
      <c r="B112" s="4" t="s">
        <v>785</v>
      </c>
      <c r="C112" s="4" t="s">
        <v>786</v>
      </c>
      <c r="D112" s="75" t="str">
        <f>_xlfn.XLOOKUP(B112,'Product Hierarchy'!A:A,'Product Hierarchy'!C:C)</f>
        <v>LEVEL5</v>
      </c>
      <c r="E112" s="75" t="str">
        <f>_xlfn.XLOOKUP(B112,'Product Hierarchy'!A:A,'Product Hierarchy'!E:E)</f>
        <v>Drywall Semi Auto Tools</v>
      </c>
      <c r="F112" s="75" t="str">
        <f>_xlfn.XLOOKUP(B112,'Product Hierarchy'!A:A,'Product Hierarchy'!F:F)</f>
        <v>Skimming Blades</v>
      </c>
      <c r="G112" s="76">
        <v>79.489999999999995</v>
      </c>
      <c r="H112" s="76">
        <v>71.540000000000006</v>
      </c>
      <c r="I112" s="6">
        <v>50.08</v>
      </c>
      <c r="J112" s="5" t="s">
        <v>26</v>
      </c>
      <c r="K112" s="5">
        <v>2</v>
      </c>
      <c r="L112" s="5">
        <v>12</v>
      </c>
      <c r="M112" s="43"/>
      <c r="N112" s="24">
        <f t="shared" si="1"/>
        <v>0</v>
      </c>
      <c r="O112" s="97"/>
    </row>
    <row r="113" spans="1:15" x14ac:dyDescent="0.25">
      <c r="A113" s="104">
        <v>449646</v>
      </c>
      <c r="B113" s="75" t="s">
        <v>31</v>
      </c>
      <c r="C113" s="75" t="s">
        <v>649</v>
      </c>
      <c r="D113" s="75" t="str">
        <f>_xlfn.XLOOKUP(B113,'Product Hierarchy'!A:A,'Product Hierarchy'!C:C)</f>
        <v>LEVEL5</v>
      </c>
      <c r="E113" s="75" t="str">
        <f>_xlfn.XLOOKUP(B113,'Product Hierarchy'!A:A,'Product Hierarchy'!E:E)</f>
        <v>Drywall Semi Auto Tools</v>
      </c>
      <c r="F113" s="75" t="str">
        <f>_xlfn.XLOOKUP(B113,'Product Hierarchy'!A:A,'Product Hierarchy'!F:F)</f>
        <v>Skimming Blades</v>
      </c>
      <c r="G113" s="76">
        <v>140.99</v>
      </c>
      <c r="H113" s="76">
        <v>126.89</v>
      </c>
      <c r="I113" s="6">
        <v>88.82</v>
      </c>
      <c r="J113" s="5" t="s">
        <v>26</v>
      </c>
      <c r="K113" s="5">
        <v>1</v>
      </c>
      <c r="L113" s="5">
        <v>12</v>
      </c>
      <c r="M113" s="43"/>
      <c r="N113" s="24">
        <f t="shared" si="1"/>
        <v>0</v>
      </c>
      <c r="O113" s="97"/>
    </row>
    <row r="114" spans="1:15" x14ac:dyDescent="0.25">
      <c r="A114" s="104">
        <v>449647</v>
      </c>
      <c r="B114" s="4" t="s">
        <v>787</v>
      </c>
      <c r="C114" s="4" t="s">
        <v>788</v>
      </c>
      <c r="D114" s="75" t="str">
        <f>_xlfn.XLOOKUP(B114,'Product Hierarchy'!A:A,'Product Hierarchy'!C:C)</f>
        <v>LEVEL5</v>
      </c>
      <c r="E114" s="75" t="str">
        <f>_xlfn.XLOOKUP(B114,'Product Hierarchy'!A:A,'Product Hierarchy'!E:E)</f>
        <v>Drywall Semi Auto Tools</v>
      </c>
      <c r="F114" s="75" t="str">
        <f>_xlfn.XLOOKUP(B114,'Product Hierarchy'!A:A,'Product Hierarchy'!F:F)</f>
        <v>Skimming Blades</v>
      </c>
      <c r="G114" s="76">
        <v>101.99</v>
      </c>
      <c r="H114" s="76">
        <v>91.79</v>
      </c>
      <c r="I114" s="6">
        <v>64.25</v>
      </c>
      <c r="J114" s="5" t="s">
        <v>26</v>
      </c>
      <c r="K114" s="5">
        <v>1</v>
      </c>
      <c r="L114" s="5">
        <v>12</v>
      </c>
      <c r="M114" s="43"/>
      <c r="N114" s="24">
        <f t="shared" si="1"/>
        <v>0</v>
      </c>
      <c r="O114" s="97"/>
    </row>
    <row r="115" spans="1:15" x14ac:dyDescent="0.25">
      <c r="A115" s="104">
        <v>449650</v>
      </c>
      <c r="B115" s="4" t="s">
        <v>32</v>
      </c>
      <c r="C115" s="4" t="s">
        <v>650</v>
      </c>
      <c r="D115" s="75" t="str">
        <f>_xlfn.XLOOKUP(B115,'Product Hierarchy'!A:A,'Product Hierarchy'!C:C)</f>
        <v>LEVEL5</v>
      </c>
      <c r="E115" s="75" t="str">
        <f>_xlfn.XLOOKUP(B115,'Product Hierarchy'!A:A,'Product Hierarchy'!E:E)</f>
        <v>Drywall Semi Auto Tools</v>
      </c>
      <c r="F115" s="75" t="str">
        <f>_xlfn.XLOOKUP(B115,'Product Hierarchy'!A:A,'Product Hierarchy'!F:F)</f>
        <v>Skimming Blades</v>
      </c>
      <c r="G115" s="76">
        <v>159.49</v>
      </c>
      <c r="H115" s="76">
        <v>143.54</v>
      </c>
      <c r="I115" s="6">
        <v>100.48</v>
      </c>
      <c r="J115" s="5" t="s">
        <v>26</v>
      </c>
      <c r="K115" s="5">
        <v>1</v>
      </c>
      <c r="L115" s="5">
        <v>6</v>
      </c>
      <c r="M115" s="43"/>
      <c r="N115" s="24">
        <f t="shared" si="1"/>
        <v>0</v>
      </c>
      <c r="O115" s="97"/>
    </row>
    <row r="116" spans="1:15" x14ac:dyDescent="0.25">
      <c r="A116" s="104">
        <v>449652</v>
      </c>
      <c r="B116" s="4" t="s">
        <v>33</v>
      </c>
      <c r="C116" s="4" t="s">
        <v>651</v>
      </c>
      <c r="D116" s="75" t="str">
        <f>_xlfn.XLOOKUP(B116,'Product Hierarchy'!A:A,'Product Hierarchy'!C:C)</f>
        <v>LEVEL5</v>
      </c>
      <c r="E116" s="75" t="str">
        <f>_xlfn.XLOOKUP(B116,'Product Hierarchy'!A:A,'Product Hierarchy'!E:E)</f>
        <v>Drywall Semi Auto Tools</v>
      </c>
      <c r="F116" s="75" t="str">
        <f>_xlfn.XLOOKUP(B116,'Product Hierarchy'!A:A,'Product Hierarchy'!F:F)</f>
        <v>Handles</v>
      </c>
      <c r="G116" s="76">
        <v>49.49</v>
      </c>
      <c r="H116" s="76">
        <v>44.54</v>
      </c>
      <c r="I116" s="6">
        <v>31.18</v>
      </c>
      <c r="J116" s="5" t="s">
        <v>26</v>
      </c>
      <c r="K116" s="5">
        <v>6</v>
      </c>
      <c r="L116" s="5">
        <v>24</v>
      </c>
      <c r="M116" s="43"/>
      <c r="N116" s="24">
        <f t="shared" si="1"/>
        <v>0</v>
      </c>
      <c r="O116" s="97"/>
    </row>
    <row r="117" spans="1:15" x14ac:dyDescent="0.25">
      <c r="A117" s="104">
        <v>449653</v>
      </c>
      <c r="B117" s="4" t="s">
        <v>1658</v>
      </c>
      <c r="C117" s="4" t="s">
        <v>1659</v>
      </c>
      <c r="D117" s="75" t="str">
        <f>_xlfn.XLOOKUP(B117,'Product Hierarchy'!A:A,'Product Hierarchy'!C:C)</f>
        <v>LEVEL5</v>
      </c>
      <c r="E117" s="75" t="str">
        <f>_xlfn.XLOOKUP(B117,'Product Hierarchy'!A:A,'Product Hierarchy'!E:E)</f>
        <v>Drywall Semi Auto Tools</v>
      </c>
      <c r="F117" s="75" t="str">
        <f>_xlfn.XLOOKUP(B117,'Product Hierarchy'!A:A,'Product Hierarchy'!F:F)</f>
        <v>Handles</v>
      </c>
      <c r="G117" s="76">
        <v>42.99</v>
      </c>
      <c r="H117" s="76">
        <v>38.69</v>
      </c>
      <c r="I117" s="6">
        <v>27.08</v>
      </c>
      <c r="J117" s="5" t="s">
        <v>26</v>
      </c>
      <c r="K117" s="5">
        <v>6</v>
      </c>
      <c r="L117" s="5">
        <v>24</v>
      </c>
      <c r="M117" s="45"/>
      <c r="N117" s="24">
        <f t="shared" si="1"/>
        <v>0</v>
      </c>
      <c r="O117" s="97"/>
    </row>
    <row r="118" spans="1:15" x14ac:dyDescent="0.25">
      <c r="A118" s="104">
        <v>449655</v>
      </c>
      <c r="B118" s="4" t="s">
        <v>34</v>
      </c>
      <c r="C118" s="4" t="s">
        <v>652</v>
      </c>
      <c r="D118" s="75" t="str">
        <f>_xlfn.XLOOKUP(B118,'Product Hierarchy'!A:A,'Product Hierarchy'!C:C)</f>
        <v>LEVEL5</v>
      </c>
      <c r="E118" s="75" t="str">
        <f>_xlfn.XLOOKUP(B118,'Product Hierarchy'!A:A,'Product Hierarchy'!E:E)</f>
        <v>Drywall Semi Auto Tools</v>
      </c>
      <c r="F118" s="75" t="str">
        <f>_xlfn.XLOOKUP(B118,'Product Hierarchy'!A:A,'Product Hierarchy'!F:F)</f>
        <v>Handles</v>
      </c>
      <c r="G118" s="76">
        <v>63.49</v>
      </c>
      <c r="H118" s="76">
        <v>57.14</v>
      </c>
      <c r="I118" s="6">
        <v>40</v>
      </c>
      <c r="J118" s="5" t="s">
        <v>26</v>
      </c>
      <c r="K118" s="5">
        <v>6</v>
      </c>
      <c r="L118" s="5">
        <v>24</v>
      </c>
      <c r="M118" s="43"/>
      <c r="N118" s="24">
        <f t="shared" si="1"/>
        <v>0</v>
      </c>
      <c r="O118" s="97"/>
    </row>
    <row r="119" spans="1:15" x14ac:dyDescent="0.25">
      <c r="A119" s="104">
        <v>449657</v>
      </c>
      <c r="B119" s="75" t="s">
        <v>35</v>
      </c>
      <c r="C119" s="75" t="s">
        <v>653</v>
      </c>
      <c r="D119" s="75" t="str">
        <f>_xlfn.XLOOKUP(B119,'Product Hierarchy'!A:A,'Product Hierarchy'!C:C)</f>
        <v>LEVEL5</v>
      </c>
      <c r="E119" s="75" t="str">
        <f>_xlfn.XLOOKUP(B119,'Product Hierarchy'!A:A,'Product Hierarchy'!E:E)</f>
        <v>Drywall Semi Auto Tools</v>
      </c>
      <c r="F119" s="75" t="str">
        <f>_xlfn.XLOOKUP(B119,'Product Hierarchy'!A:A,'Product Hierarchy'!F:F)</f>
        <v>Handles</v>
      </c>
      <c r="G119" s="76">
        <v>67.989999999999995</v>
      </c>
      <c r="H119" s="76">
        <v>61.19</v>
      </c>
      <c r="I119" s="6">
        <v>42.83</v>
      </c>
      <c r="J119" s="5" t="s">
        <v>26</v>
      </c>
      <c r="K119" s="5">
        <v>6</v>
      </c>
      <c r="L119" s="5">
        <v>24</v>
      </c>
      <c r="M119" s="43"/>
      <c r="N119" s="24">
        <f t="shared" si="1"/>
        <v>0</v>
      </c>
      <c r="O119" s="97"/>
    </row>
    <row r="120" spans="1:15" x14ac:dyDescent="0.25">
      <c r="A120" s="104">
        <v>449660</v>
      </c>
      <c r="B120" s="4" t="s">
        <v>789</v>
      </c>
      <c r="C120" s="75" t="s">
        <v>790</v>
      </c>
      <c r="D120" s="75" t="str">
        <f>_xlfn.XLOOKUP(B120,'Product Hierarchy'!A:A,'Product Hierarchy'!C:C)</f>
        <v>LEVEL5</v>
      </c>
      <c r="E120" s="75" t="str">
        <f>_xlfn.XLOOKUP(B120,'Product Hierarchy'!A:A,'Product Hierarchy'!E:E)</f>
        <v>Drywall Semi Auto Tools</v>
      </c>
      <c r="F120" s="75" t="str">
        <f>_xlfn.XLOOKUP(B120,'Product Hierarchy'!A:A,'Product Hierarchy'!F:F)</f>
        <v>Skimming Blade Sets</v>
      </c>
      <c r="G120" s="76">
        <v>112.98</v>
      </c>
      <c r="H120" s="76">
        <v>96.03</v>
      </c>
      <c r="I120" s="6">
        <v>67.22</v>
      </c>
      <c r="J120" s="5" t="s">
        <v>26</v>
      </c>
      <c r="K120" s="5">
        <v>1</v>
      </c>
      <c r="L120" s="5">
        <v>1</v>
      </c>
      <c r="M120" s="43"/>
      <c r="N120" s="24">
        <f t="shared" si="1"/>
        <v>0</v>
      </c>
      <c r="O120" s="97"/>
    </row>
    <row r="121" spans="1:15" x14ac:dyDescent="0.25">
      <c r="A121" s="104">
        <v>449661</v>
      </c>
      <c r="B121" s="75" t="s">
        <v>36</v>
      </c>
      <c r="C121" s="75" t="s">
        <v>654</v>
      </c>
      <c r="D121" s="75" t="str">
        <f>_xlfn.XLOOKUP(B121,'Product Hierarchy'!A:A,'Product Hierarchy'!C:C)</f>
        <v>LEVEL5</v>
      </c>
      <c r="E121" s="75" t="str">
        <f>_xlfn.XLOOKUP(B121,'Product Hierarchy'!A:A,'Product Hierarchy'!E:E)</f>
        <v>Drywall Semi Auto Tools</v>
      </c>
      <c r="F121" s="75" t="str">
        <f>_xlfn.XLOOKUP(B121,'Product Hierarchy'!A:A,'Product Hierarchy'!F:F)</f>
        <v>Skimming Blades</v>
      </c>
      <c r="G121" s="76">
        <v>214.99</v>
      </c>
      <c r="H121" s="76">
        <v>193.49</v>
      </c>
      <c r="I121" s="6">
        <v>135.44</v>
      </c>
      <c r="J121" s="5" t="s">
        <v>26</v>
      </c>
      <c r="K121" s="5">
        <v>1</v>
      </c>
      <c r="L121" s="5">
        <v>6</v>
      </c>
      <c r="M121" s="43"/>
      <c r="N121" s="24">
        <f t="shared" si="1"/>
        <v>0</v>
      </c>
      <c r="O121" s="97"/>
    </row>
    <row r="122" spans="1:15" x14ac:dyDescent="0.25">
      <c r="A122" s="104">
        <v>449663</v>
      </c>
      <c r="B122" s="75" t="s">
        <v>37</v>
      </c>
      <c r="C122" s="75" t="s">
        <v>655</v>
      </c>
      <c r="D122" s="75" t="str">
        <f>_xlfn.XLOOKUP(B122,'Product Hierarchy'!A:A,'Product Hierarchy'!C:C)</f>
        <v>LEVEL5</v>
      </c>
      <c r="E122" s="75" t="str">
        <f>_xlfn.XLOOKUP(B122,'Product Hierarchy'!A:A,'Product Hierarchy'!E:E)</f>
        <v>Drywall Semi Auto Tools</v>
      </c>
      <c r="F122" s="75" t="str">
        <f>_xlfn.XLOOKUP(B122,'Product Hierarchy'!A:A,'Product Hierarchy'!F:F)</f>
        <v>Skimming Blades</v>
      </c>
      <c r="G122" s="76">
        <v>17.489999999999998</v>
      </c>
      <c r="H122" s="76">
        <v>15.74</v>
      </c>
      <c r="I122" s="6">
        <v>11.02</v>
      </c>
      <c r="J122" s="5" t="s">
        <v>26</v>
      </c>
      <c r="K122" s="5">
        <v>1</v>
      </c>
      <c r="L122" s="5">
        <v>24</v>
      </c>
      <c r="M122" s="43"/>
      <c r="N122" s="24">
        <f t="shared" si="1"/>
        <v>0</v>
      </c>
      <c r="O122" s="97"/>
    </row>
    <row r="123" spans="1:15" x14ac:dyDescent="0.25">
      <c r="A123" s="104">
        <v>449664</v>
      </c>
      <c r="B123" s="75" t="s">
        <v>38</v>
      </c>
      <c r="C123" s="75" t="s">
        <v>656</v>
      </c>
      <c r="D123" s="75" t="str">
        <f>_xlfn.XLOOKUP(B123,'Product Hierarchy'!A:A,'Product Hierarchy'!C:C)</f>
        <v>LEVEL5</v>
      </c>
      <c r="E123" s="75" t="str">
        <f>_xlfn.XLOOKUP(B123,'Product Hierarchy'!A:A,'Product Hierarchy'!E:E)</f>
        <v>Drywall Semi Auto Tools</v>
      </c>
      <c r="F123" s="75" t="str">
        <f>_xlfn.XLOOKUP(B123,'Product Hierarchy'!A:A,'Product Hierarchy'!F:F)</f>
        <v>Skimming Blades</v>
      </c>
      <c r="G123" s="76">
        <v>27.99</v>
      </c>
      <c r="H123" s="76">
        <v>25.19</v>
      </c>
      <c r="I123" s="6">
        <v>17.63</v>
      </c>
      <c r="J123" s="5" t="s">
        <v>26</v>
      </c>
      <c r="K123" s="5">
        <v>1</v>
      </c>
      <c r="L123" s="5">
        <v>24</v>
      </c>
      <c r="M123" s="43"/>
      <c r="N123" s="24">
        <f t="shared" si="1"/>
        <v>0</v>
      </c>
      <c r="O123" s="97"/>
    </row>
    <row r="124" spans="1:15" x14ac:dyDescent="0.25">
      <c r="A124" s="104">
        <v>449665</v>
      </c>
      <c r="B124" s="4" t="s">
        <v>801</v>
      </c>
      <c r="C124" s="4" t="s">
        <v>802</v>
      </c>
      <c r="D124" s="75" t="str">
        <f>_xlfn.XLOOKUP(B124,'Product Hierarchy'!A:A,'Product Hierarchy'!C:C)</f>
        <v>LEVEL5</v>
      </c>
      <c r="E124" s="75" t="str">
        <f>_xlfn.XLOOKUP(B124,'Product Hierarchy'!A:A,'Product Hierarchy'!E:E)</f>
        <v>Drywall Semi Auto Tools</v>
      </c>
      <c r="F124" s="75" t="str">
        <f>_xlfn.XLOOKUP(B124,'Product Hierarchy'!A:A,'Product Hierarchy'!F:F)</f>
        <v>Skimming Blades</v>
      </c>
      <c r="G124" s="76">
        <v>25.99</v>
      </c>
      <c r="H124" s="76">
        <v>23.39</v>
      </c>
      <c r="I124" s="6">
        <v>16.37</v>
      </c>
      <c r="J124" s="5" t="s">
        <v>26</v>
      </c>
      <c r="K124" s="5">
        <v>1</v>
      </c>
      <c r="L124" s="5">
        <v>24</v>
      </c>
      <c r="M124" s="43"/>
      <c r="N124" s="24">
        <f t="shared" si="1"/>
        <v>0</v>
      </c>
      <c r="O124" s="97"/>
    </row>
    <row r="125" spans="1:15" x14ac:dyDescent="0.25">
      <c r="A125" s="104">
        <v>449666</v>
      </c>
      <c r="B125" s="8" t="s">
        <v>39</v>
      </c>
      <c r="C125" s="4" t="s">
        <v>657</v>
      </c>
      <c r="D125" s="75" t="str">
        <f>_xlfn.XLOOKUP(B125,'Product Hierarchy'!A:A,'Product Hierarchy'!C:C)</f>
        <v>LEVEL5</v>
      </c>
      <c r="E125" s="75" t="str">
        <f>_xlfn.XLOOKUP(B125,'Product Hierarchy'!A:A,'Product Hierarchy'!E:E)</f>
        <v>Drywall Semi Auto Tools</v>
      </c>
      <c r="F125" s="75" t="str">
        <f>_xlfn.XLOOKUP(B125,'Product Hierarchy'!A:A,'Product Hierarchy'!F:F)</f>
        <v>Skimming Blades</v>
      </c>
      <c r="G125" s="76">
        <v>22.99</v>
      </c>
      <c r="H125" s="76">
        <v>20.69</v>
      </c>
      <c r="I125" s="6">
        <v>14.48</v>
      </c>
      <c r="J125" s="9" t="s">
        <v>26</v>
      </c>
      <c r="K125" s="9">
        <v>1</v>
      </c>
      <c r="L125" s="9">
        <v>24</v>
      </c>
      <c r="M125" s="43"/>
      <c r="N125" s="24">
        <f t="shared" si="1"/>
        <v>0</v>
      </c>
      <c r="O125" s="97"/>
    </row>
    <row r="126" spans="1:15" x14ac:dyDescent="0.25">
      <c r="A126" s="104">
        <v>449667</v>
      </c>
      <c r="B126" s="8" t="s">
        <v>803</v>
      </c>
      <c r="C126" s="4" t="s">
        <v>804</v>
      </c>
      <c r="D126" s="75" t="str">
        <f>_xlfn.XLOOKUP(B126,'Product Hierarchy'!A:A,'Product Hierarchy'!C:C)</f>
        <v>LEVEL5</v>
      </c>
      <c r="E126" s="75" t="str">
        <f>_xlfn.XLOOKUP(B126,'Product Hierarchy'!A:A,'Product Hierarchy'!E:E)</f>
        <v>Drywall Semi Auto Tools</v>
      </c>
      <c r="F126" s="75" t="str">
        <f>_xlfn.XLOOKUP(B126,'Product Hierarchy'!A:A,'Product Hierarchy'!F:F)</f>
        <v>Skimming Blades</v>
      </c>
      <c r="G126" s="76">
        <v>21.49</v>
      </c>
      <c r="H126" s="76">
        <v>19.34</v>
      </c>
      <c r="I126" s="6">
        <v>13.54</v>
      </c>
      <c r="J126" s="9" t="s">
        <v>26</v>
      </c>
      <c r="K126" s="9">
        <v>1</v>
      </c>
      <c r="L126" s="9">
        <v>24</v>
      </c>
      <c r="M126" s="43"/>
      <c r="N126" s="24">
        <f t="shared" si="1"/>
        <v>0</v>
      </c>
      <c r="O126" s="97"/>
    </row>
    <row r="127" spans="1:15" x14ac:dyDescent="0.25">
      <c r="A127" s="104">
        <v>449668</v>
      </c>
      <c r="B127" s="8" t="s">
        <v>40</v>
      </c>
      <c r="C127" s="4" t="s">
        <v>658</v>
      </c>
      <c r="D127" s="75" t="str">
        <f>_xlfn.XLOOKUP(B127,'Product Hierarchy'!A:A,'Product Hierarchy'!C:C)</f>
        <v>LEVEL5</v>
      </c>
      <c r="E127" s="75" t="str">
        <f>_xlfn.XLOOKUP(B127,'Product Hierarchy'!A:A,'Product Hierarchy'!E:E)</f>
        <v>Drywall Semi Auto Tools</v>
      </c>
      <c r="F127" s="75" t="str">
        <f>_xlfn.XLOOKUP(B127,'Product Hierarchy'!A:A,'Product Hierarchy'!F:F)</f>
        <v>Skimming Blades</v>
      </c>
      <c r="G127" s="76">
        <v>30.49</v>
      </c>
      <c r="H127" s="76">
        <v>27.44</v>
      </c>
      <c r="I127" s="6">
        <v>19.21</v>
      </c>
      <c r="J127" s="9" t="s">
        <v>26</v>
      </c>
      <c r="K127" s="9">
        <v>1</v>
      </c>
      <c r="L127" s="9">
        <v>24</v>
      </c>
      <c r="M127" s="43"/>
      <c r="N127" s="24">
        <f t="shared" si="1"/>
        <v>0</v>
      </c>
      <c r="O127" s="97"/>
    </row>
    <row r="128" spans="1:15" x14ac:dyDescent="0.25">
      <c r="A128" s="104">
        <v>449669</v>
      </c>
      <c r="B128" s="8" t="s">
        <v>805</v>
      </c>
      <c r="C128" s="4" t="s">
        <v>806</v>
      </c>
      <c r="D128" s="75" t="str">
        <f>_xlfn.XLOOKUP(B128,'Product Hierarchy'!A:A,'Product Hierarchy'!C:C)</f>
        <v>LEVEL5</v>
      </c>
      <c r="E128" s="75" t="str">
        <f>_xlfn.XLOOKUP(B128,'Product Hierarchy'!A:A,'Product Hierarchy'!E:E)</f>
        <v>Drywall Semi Auto Tools</v>
      </c>
      <c r="F128" s="75" t="str">
        <f>_xlfn.XLOOKUP(B128,'Product Hierarchy'!A:A,'Product Hierarchy'!F:F)</f>
        <v>Skimming Blades</v>
      </c>
      <c r="G128" s="76">
        <v>27.99</v>
      </c>
      <c r="H128" s="76">
        <v>25.19</v>
      </c>
      <c r="I128" s="6">
        <v>17.63</v>
      </c>
      <c r="J128" s="9" t="s">
        <v>26</v>
      </c>
      <c r="K128" s="9">
        <v>1</v>
      </c>
      <c r="L128" s="9">
        <v>24</v>
      </c>
      <c r="M128" s="43"/>
      <c r="N128" s="24">
        <f t="shared" si="1"/>
        <v>0</v>
      </c>
      <c r="O128" s="97"/>
    </row>
    <row r="129" spans="1:15" x14ac:dyDescent="0.25">
      <c r="A129" s="104">
        <v>449670</v>
      </c>
      <c r="B129" s="98" t="s">
        <v>41</v>
      </c>
      <c r="C129" s="75" t="s">
        <v>659</v>
      </c>
      <c r="D129" s="75" t="str">
        <f>_xlfn.XLOOKUP(B129,'Product Hierarchy'!A:A,'Product Hierarchy'!C:C)</f>
        <v>LEVEL5</v>
      </c>
      <c r="E129" s="75" t="str">
        <f>_xlfn.XLOOKUP(B129,'Product Hierarchy'!A:A,'Product Hierarchy'!E:E)</f>
        <v>Drywall Semi Auto Tools</v>
      </c>
      <c r="F129" s="75" t="str">
        <f>_xlfn.XLOOKUP(B129,'Product Hierarchy'!A:A,'Product Hierarchy'!F:F)</f>
        <v>Skimming Blades</v>
      </c>
      <c r="G129" s="76">
        <v>36.99</v>
      </c>
      <c r="H129" s="76">
        <v>33.29</v>
      </c>
      <c r="I129" s="6">
        <v>23.3</v>
      </c>
      <c r="J129" s="9" t="s">
        <v>26</v>
      </c>
      <c r="K129" s="9">
        <v>1</v>
      </c>
      <c r="L129" s="9">
        <v>24</v>
      </c>
      <c r="M129" s="43"/>
      <c r="N129" s="24">
        <f t="shared" si="1"/>
        <v>0</v>
      </c>
      <c r="O129" s="97"/>
    </row>
    <row r="130" spans="1:15" x14ac:dyDescent="0.25">
      <c r="A130" s="104">
        <v>449671</v>
      </c>
      <c r="B130" s="8" t="s">
        <v>807</v>
      </c>
      <c r="C130" s="4" t="s">
        <v>808</v>
      </c>
      <c r="D130" s="75" t="str">
        <f>_xlfn.XLOOKUP(B130,'Product Hierarchy'!A:A,'Product Hierarchy'!C:C)</f>
        <v>LEVEL5</v>
      </c>
      <c r="E130" s="75" t="str">
        <f>_xlfn.XLOOKUP(B130,'Product Hierarchy'!A:A,'Product Hierarchy'!E:E)</f>
        <v>Drywall Semi Auto Tools</v>
      </c>
      <c r="F130" s="75" t="str">
        <f>_xlfn.XLOOKUP(B130,'Product Hierarchy'!A:A,'Product Hierarchy'!F:F)</f>
        <v>Skimming Blades</v>
      </c>
      <c r="G130" s="76">
        <v>34.49</v>
      </c>
      <c r="H130" s="76">
        <v>31.04</v>
      </c>
      <c r="I130" s="6">
        <v>21.73</v>
      </c>
      <c r="J130" s="9" t="s">
        <v>26</v>
      </c>
      <c r="K130" s="9">
        <v>1</v>
      </c>
      <c r="L130" s="9">
        <v>24</v>
      </c>
      <c r="M130" s="43"/>
      <c r="N130" s="24">
        <f t="shared" si="1"/>
        <v>0</v>
      </c>
      <c r="O130" s="97"/>
    </row>
    <row r="131" spans="1:15" x14ac:dyDescent="0.25">
      <c r="A131" s="104">
        <v>449672</v>
      </c>
      <c r="B131" s="8" t="s">
        <v>42</v>
      </c>
      <c r="C131" s="4" t="s">
        <v>660</v>
      </c>
      <c r="D131" s="75" t="str">
        <f>_xlfn.XLOOKUP(B131,'Product Hierarchy'!A:A,'Product Hierarchy'!C:C)</f>
        <v>LEVEL5</v>
      </c>
      <c r="E131" s="75" t="str">
        <f>_xlfn.XLOOKUP(B131,'Product Hierarchy'!A:A,'Product Hierarchy'!E:E)</f>
        <v>Drywall Semi Auto Tools</v>
      </c>
      <c r="F131" s="75" t="str">
        <f>_xlfn.XLOOKUP(B131,'Product Hierarchy'!A:A,'Product Hierarchy'!F:F)</f>
        <v>Skimming Blades</v>
      </c>
      <c r="G131" s="76">
        <v>49.49</v>
      </c>
      <c r="H131" s="76">
        <v>44.54</v>
      </c>
      <c r="I131" s="6">
        <v>31.18</v>
      </c>
      <c r="J131" s="9" t="s">
        <v>26</v>
      </c>
      <c r="K131" s="9">
        <v>1</v>
      </c>
      <c r="L131" s="9">
        <v>24</v>
      </c>
      <c r="M131" s="43"/>
      <c r="N131" s="24">
        <f t="shared" si="1"/>
        <v>0</v>
      </c>
      <c r="O131" s="97"/>
    </row>
    <row r="132" spans="1:15" x14ac:dyDescent="0.25">
      <c r="A132" s="104">
        <v>449673</v>
      </c>
      <c r="B132" s="8" t="s">
        <v>809</v>
      </c>
      <c r="C132" s="4" t="s">
        <v>810</v>
      </c>
      <c r="D132" s="75" t="str">
        <f>_xlfn.XLOOKUP(B132,'Product Hierarchy'!A:A,'Product Hierarchy'!C:C)</f>
        <v>LEVEL5</v>
      </c>
      <c r="E132" s="75" t="str">
        <f>_xlfn.XLOOKUP(B132,'Product Hierarchy'!A:A,'Product Hierarchy'!E:E)</f>
        <v>Drywall Semi Auto Tools</v>
      </c>
      <c r="F132" s="75" t="str">
        <f>_xlfn.XLOOKUP(B132,'Product Hierarchy'!A:A,'Product Hierarchy'!F:F)</f>
        <v>Skimming Blades</v>
      </c>
      <c r="G132" s="76">
        <v>47.49</v>
      </c>
      <c r="H132" s="76">
        <v>42.74</v>
      </c>
      <c r="I132" s="6">
        <v>29.92</v>
      </c>
      <c r="J132" s="9" t="s">
        <v>26</v>
      </c>
      <c r="K132" s="9">
        <v>1</v>
      </c>
      <c r="L132" s="9">
        <v>24</v>
      </c>
      <c r="M132" s="43"/>
      <c r="N132" s="24">
        <f t="shared" si="1"/>
        <v>0</v>
      </c>
      <c r="O132" s="97"/>
    </row>
    <row r="133" spans="1:15" x14ac:dyDescent="0.25">
      <c r="A133" s="104">
        <v>449674</v>
      </c>
      <c r="B133" s="8" t="s">
        <v>43</v>
      </c>
      <c r="C133" s="4" t="s">
        <v>661</v>
      </c>
      <c r="D133" s="75" t="str">
        <f>_xlfn.XLOOKUP(B133,'Product Hierarchy'!A:A,'Product Hierarchy'!C:C)</f>
        <v>LEVEL5</v>
      </c>
      <c r="E133" s="75" t="str">
        <f>_xlfn.XLOOKUP(B133,'Product Hierarchy'!A:A,'Product Hierarchy'!E:E)</f>
        <v>Drywall Semi Auto Tools</v>
      </c>
      <c r="F133" s="75" t="str">
        <f>_xlfn.XLOOKUP(B133,'Product Hierarchy'!A:A,'Product Hierarchy'!F:F)</f>
        <v>Skimming Blades</v>
      </c>
      <c r="G133" s="76">
        <v>58.49</v>
      </c>
      <c r="H133" s="76">
        <v>52.64</v>
      </c>
      <c r="I133" s="6">
        <v>36.85</v>
      </c>
      <c r="J133" s="9" t="s">
        <v>26</v>
      </c>
      <c r="K133" s="9">
        <v>1</v>
      </c>
      <c r="L133" s="9">
        <v>24</v>
      </c>
      <c r="M133" s="43"/>
      <c r="N133" s="24">
        <f t="shared" si="1"/>
        <v>0</v>
      </c>
      <c r="O133" s="97"/>
    </row>
    <row r="134" spans="1:15" x14ac:dyDescent="0.25">
      <c r="A134" s="104">
        <v>449675</v>
      </c>
      <c r="B134" s="98" t="s">
        <v>44</v>
      </c>
      <c r="C134" s="75" t="s">
        <v>662</v>
      </c>
      <c r="D134" s="75" t="str">
        <f>_xlfn.XLOOKUP(B134,'Product Hierarchy'!A:A,'Product Hierarchy'!C:C)</f>
        <v>LEVEL5</v>
      </c>
      <c r="E134" s="75" t="str">
        <f>_xlfn.XLOOKUP(B134,'Product Hierarchy'!A:A,'Product Hierarchy'!E:E)</f>
        <v>Drywall Semi Auto Tools</v>
      </c>
      <c r="F134" s="75" t="str">
        <f>_xlfn.XLOOKUP(B134,'Product Hierarchy'!A:A,'Product Hierarchy'!F:F)</f>
        <v>Skimming Blades</v>
      </c>
      <c r="G134" s="76">
        <v>64.489999999999995</v>
      </c>
      <c r="H134" s="76">
        <v>58.04</v>
      </c>
      <c r="I134" s="6">
        <v>40.630000000000003</v>
      </c>
      <c r="J134" s="9" t="s">
        <v>26</v>
      </c>
      <c r="K134" s="9">
        <v>1</v>
      </c>
      <c r="L134" s="9">
        <v>24</v>
      </c>
      <c r="M134" s="43"/>
      <c r="N134" s="24">
        <f t="shared" si="1"/>
        <v>0</v>
      </c>
      <c r="O134" s="97"/>
    </row>
    <row r="135" spans="1:15" x14ac:dyDescent="0.25">
      <c r="A135" s="104">
        <v>448570</v>
      </c>
      <c r="B135" s="8" t="s">
        <v>45</v>
      </c>
      <c r="C135" s="4" t="s">
        <v>663</v>
      </c>
      <c r="D135" s="75" t="str">
        <f>_xlfn.XLOOKUP(B135,'Product Hierarchy'!A:A,'Product Hierarchy'!C:C)</f>
        <v>LEVEL5</v>
      </c>
      <c r="E135" s="75" t="str">
        <f>_xlfn.XLOOKUP(B135,'Product Hierarchy'!A:A,'Product Hierarchy'!E:E)</f>
        <v>Drywall Semi Auto Tools</v>
      </c>
      <c r="F135" s="75" t="str">
        <f>_xlfn.XLOOKUP(B135,'Product Hierarchy'!A:A,'Product Hierarchy'!F:F)</f>
        <v>Parts</v>
      </c>
      <c r="G135" s="76">
        <v>14.99</v>
      </c>
      <c r="H135" s="76">
        <v>13.49</v>
      </c>
      <c r="I135" s="6">
        <v>9.44</v>
      </c>
      <c r="J135" s="9" t="s">
        <v>26</v>
      </c>
      <c r="K135" s="9">
        <v>1</v>
      </c>
      <c r="L135" s="9">
        <v>1</v>
      </c>
      <c r="M135" s="43"/>
      <c r="N135" s="24">
        <f t="shared" si="1"/>
        <v>0</v>
      </c>
      <c r="O135" s="97"/>
    </row>
    <row r="136" spans="1:15" x14ac:dyDescent="0.25">
      <c r="A136" s="104">
        <v>448571</v>
      </c>
      <c r="B136" s="8" t="s">
        <v>1667</v>
      </c>
      <c r="C136" s="4" t="s">
        <v>4378</v>
      </c>
      <c r="D136" s="75" t="str">
        <f>_xlfn.XLOOKUP(B136,'Product Hierarchy'!A:A,'Product Hierarchy'!C:C)</f>
        <v>LEVEL5</v>
      </c>
      <c r="E136" s="75" t="str">
        <f>_xlfn.XLOOKUP(B136,'Product Hierarchy'!A:A,'Product Hierarchy'!E:E)</f>
        <v>Drywall Semi Auto Tools</v>
      </c>
      <c r="F136" s="75" t="str">
        <f>_xlfn.XLOOKUP(B136,'Product Hierarchy'!A:A,'Product Hierarchy'!F:F)</f>
        <v>Parts</v>
      </c>
      <c r="G136" s="76">
        <v>14.99</v>
      </c>
      <c r="H136" s="76">
        <v>13.49</v>
      </c>
      <c r="I136" s="6">
        <v>9.44</v>
      </c>
      <c r="J136" s="9" t="s">
        <v>26</v>
      </c>
      <c r="K136" s="9">
        <v>1</v>
      </c>
      <c r="L136" s="9">
        <v>1</v>
      </c>
      <c r="M136" s="43"/>
      <c r="N136" s="24">
        <f t="shared" si="1"/>
        <v>0</v>
      </c>
      <c r="O136" s="97"/>
    </row>
    <row r="137" spans="1:15" x14ac:dyDescent="0.25">
      <c r="A137" s="104">
        <v>449676</v>
      </c>
      <c r="B137" s="8" t="s">
        <v>46</v>
      </c>
      <c r="C137" s="4" t="s">
        <v>664</v>
      </c>
      <c r="D137" s="75" t="str">
        <f>_xlfn.XLOOKUP(B137,'Product Hierarchy'!A:A,'Product Hierarchy'!C:C)</f>
        <v>LEVEL5</v>
      </c>
      <c r="E137" s="75" t="str">
        <f>_xlfn.XLOOKUP(B137,'Product Hierarchy'!A:A,'Product Hierarchy'!E:E)</f>
        <v>Drywall Hand Tools</v>
      </c>
      <c r="F137" s="75" t="str">
        <f>_xlfn.XLOOKUP(B137,'Product Hierarchy'!A:A,'Product Hierarchy'!F:F)</f>
        <v>Trowels</v>
      </c>
      <c r="G137" s="76">
        <v>52.99</v>
      </c>
      <c r="H137" s="76">
        <v>47.69</v>
      </c>
      <c r="I137" s="6">
        <v>33.380000000000003</v>
      </c>
      <c r="J137" s="9" t="s">
        <v>26</v>
      </c>
      <c r="K137" s="9">
        <v>1</v>
      </c>
      <c r="L137" s="9">
        <v>12</v>
      </c>
      <c r="M137" s="43"/>
      <c r="N137" s="24">
        <f t="shared" si="1"/>
        <v>0</v>
      </c>
      <c r="O137" s="97"/>
    </row>
    <row r="138" spans="1:15" x14ac:dyDescent="0.25">
      <c r="A138" s="104">
        <v>449678</v>
      </c>
      <c r="B138" s="8" t="s">
        <v>47</v>
      </c>
      <c r="C138" s="4" t="s">
        <v>665</v>
      </c>
      <c r="D138" s="75" t="str">
        <f>_xlfn.XLOOKUP(B138,'Product Hierarchy'!A:A,'Product Hierarchy'!C:C)</f>
        <v>LEVEL5</v>
      </c>
      <c r="E138" s="75" t="str">
        <f>_xlfn.XLOOKUP(B138,'Product Hierarchy'!A:A,'Product Hierarchy'!E:E)</f>
        <v>Drywall Hand Tools</v>
      </c>
      <c r="F138" s="75" t="str">
        <f>_xlfn.XLOOKUP(B138,'Product Hierarchy'!A:A,'Product Hierarchy'!F:F)</f>
        <v>Trowels</v>
      </c>
      <c r="G138" s="76">
        <v>53.99</v>
      </c>
      <c r="H138" s="76">
        <v>48.59</v>
      </c>
      <c r="I138" s="6">
        <v>34.01</v>
      </c>
      <c r="J138" s="9" t="s">
        <v>26</v>
      </c>
      <c r="K138" s="9">
        <v>1</v>
      </c>
      <c r="L138" s="9">
        <v>12</v>
      </c>
      <c r="M138" s="43"/>
      <c r="N138" s="24">
        <f t="shared" si="1"/>
        <v>0</v>
      </c>
      <c r="O138" s="97"/>
    </row>
    <row r="139" spans="1:15" x14ac:dyDescent="0.25">
      <c r="A139" s="104">
        <v>449680</v>
      </c>
      <c r="B139" s="8" t="s">
        <v>48</v>
      </c>
      <c r="C139" s="4" t="s">
        <v>666</v>
      </c>
      <c r="D139" s="75" t="str">
        <f>_xlfn.XLOOKUP(B139,'Product Hierarchy'!A:A,'Product Hierarchy'!C:C)</f>
        <v>LEVEL5</v>
      </c>
      <c r="E139" s="75" t="str">
        <f>_xlfn.XLOOKUP(B139,'Product Hierarchy'!A:A,'Product Hierarchy'!E:E)</f>
        <v>Drywall Hand Tools</v>
      </c>
      <c r="F139" s="75" t="str">
        <f>_xlfn.XLOOKUP(B139,'Product Hierarchy'!A:A,'Product Hierarchy'!F:F)</f>
        <v>Trowels</v>
      </c>
      <c r="G139" s="76">
        <v>58.49</v>
      </c>
      <c r="H139" s="76">
        <v>52.64</v>
      </c>
      <c r="I139" s="6">
        <v>36.85</v>
      </c>
      <c r="J139" s="9" t="s">
        <v>26</v>
      </c>
      <c r="K139" s="9">
        <v>1</v>
      </c>
      <c r="L139" s="9">
        <v>12</v>
      </c>
      <c r="M139" s="43"/>
      <c r="N139" s="24">
        <f t="shared" si="1"/>
        <v>0</v>
      </c>
      <c r="O139" s="97"/>
    </row>
    <row r="140" spans="1:15" x14ac:dyDescent="0.25">
      <c r="A140" s="104">
        <v>449682</v>
      </c>
      <c r="B140" s="8" t="s">
        <v>49</v>
      </c>
      <c r="C140" s="4" t="s">
        <v>667</v>
      </c>
      <c r="D140" s="75" t="str">
        <f>_xlfn.XLOOKUP(B140,'Product Hierarchy'!A:A,'Product Hierarchy'!C:C)</f>
        <v>LEVEL5</v>
      </c>
      <c r="E140" s="75" t="str">
        <f>_xlfn.XLOOKUP(B140,'Product Hierarchy'!A:A,'Product Hierarchy'!E:E)</f>
        <v>Drywall Hand Tools</v>
      </c>
      <c r="F140" s="75" t="str">
        <f>_xlfn.XLOOKUP(B140,'Product Hierarchy'!A:A,'Product Hierarchy'!F:F)</f>
        <v>Trowels</v>
      </c>
      <c r="G140" s="76">
        <v>62.99</v>
      </c>
      <c r="H140" s="76">
        <v>56.69</v>
      </c>
      <c r="I140" s="6">
        <v>39.68</v>
      </c>
      <c r="J140" s="9" t="s">
        <v>26</v>
      </c>
      <c r="K140" s="9">
        <v>1</v>
      </c>
      <c r="L140" s="9">
        <v>12</v>
      </c>
      <c r="M140" s="43"/>
      <c r="N140" s="24">
        <f t="shared" ref="N140:N204" si="2">M140*I140</f>
        <v>0</v>
      </c>
      <c r="O140" s="97"/>
    </row>
    <row r="141" spans="1:15" x14ac:dyDescent="0.25">
      <c r="A141" s="104">
        <v>449684</v>
      </c>
      <c r="B141" s="8" t="s">
        <v>50</v>
      </c>
      <c r="C141" s="4" t="s">
        <v>668</v>
      </c>
      <c r="D141" s="75" t="str">
        <f>_xlfn.XLOOKUP(B141,'Product Hierarchy'!A:A,'Product Hierarchy'!C:C)</f>
        <v>LEVEL5</v>
      </c>
      <c r="E141" s="75" t="str">
        <f>_xlfn.XLOOKUP(B141,'Product Hierarchy'!A:A,'Product Hierarchy'!E:E)</f>
        <v>Drywall Hand Tools</v>
      </c>
      <c r="F141" s="75" t="str">
        <f>_xlfn.XLOOKUP(B141,'Product Hierarchy'!A:A,'Product Hierarchy'!F:F)</f>
        <v>Trowels</v>
      </c>
      <c r="G141" s="76">
        <v>66.989999999999995</v>
      </c>
      <c r="H141" s="76">
        <v>60.29</v>
      </c>
      <c r="I141" s="6">
        <v>42.2</v>
      </c>
      <c r="J141" s="9" t="s">
        <v>26</v>
      </c>
      <c r="K141" s="9">
        <v>1</v>
      </c>
      <c r="L141" s="9">
        <v>12</v>
      </c>
      <c r="M141" s="43"/>
      <c r="N141" s="24">
        <f t="shared" si="2"/>
        <v>0</v>
      </c>
      <c r="O141" s="97"/>
    </row>
    <row r="142" spans="1:15" x14ac:dyDescent="0.25">
      <c r="A142" s="104">
        <v>449686</v>
      </c>
      <c r="B142" s="8" t="s">
        <v>811</v>
      </c>
      <c r="C142" s="4" t="s">
        <v>812</v>
      </c>
      <c r="D142" s="75" t="str">
        <f>_xlfn.XLOOKUP(B142,'Product Hierarchy'!A:A,'Product Hierarchy'!C:C)</f>
        <v>LEVEL5</v>
      </c>
      <c r="E142" s="75" t="str">
        <f>_xlfn.XLOOKUP(B142,'Product Hierarchy'!A:A,'Product Hierarchy'!E:E)</f>
        <v>Drywall Hand Tools</v>
      </c>
      <c r="F142" s="75" t="str">
        <f>_xlfn.XLOOKUP(B142,'Product Hierarchy'!A:A,'Product Hierarchy'!F:F)</f>
        <v>Trowels</v>
      </c>
      <c r="G142" s="76">
        <v>61.99</v>
      </c>
      <c r="H142" s="76">
        <v>55.79</v>
      </c>
      <c r="I142" s="6">
        <v>39.049999999999997</v>
      </c>
      <c r="J142" s="9" t="s">
        <v>26</v>
      </c>
      <c r="K142" s="9">
        <v>1</v>
      </c>
      <c r="L142" s="9">
        <v>12</v>
      </c>
      <c r="M142" s="43"/>
      <c r="N142" s="24">
        <f t="shared" si="2"/>
        <v>0</v>
      </c>
      <c r="O142" s="97"/>
    </row>
    <row r="143" spans="1:15" x14ac:dyDescent="0.25">
      <c r="A143" s="104">
        <v>449687</v>
      </c>
      <c r="B143" s="8" t="s">
        <v>813</v>
      </c>
      <c r="C143" s="4" t="s">
        <v>814</v>
      </c>
      <c r="D143" s="75" t="str">
        <f>_xlfn.XLOOKUP(B143,'Product Hierarchy'!A:A,'Product Hierarchy'!C:C)</f>
        <v>LEVEL5</v>
      </c>
      <c r="E143" s="75" t="str">
        <f>_xlfn.XLOOKUP(B143,'Product Hierarchy'!A:A,'Product Hierarchy'!E:E)</f>
        <v>Drywall Hand Tools</v>
      </c>
      <c r="F143" s="75" t="str">
        <f>_xlfn.XLOOKUP(B143,'Product Hierarchy'!A:A,'Product Hierarchy'!F:F)</f>
        <v>Trowels</v>
      </c>
      <c r="G143" s="76">
        <v>66.989999999999995</v>
      </c>
      <c r="H143" s="76">
        <v>60.29</v>
      </c>
      <c r="I143" s="6">
        <v>42.2</v>
      </c>
      <c r="J143" s="9" t="s">
        <v>26</v>
      </c>
      <c r="K143" s="9">
        <v>1</v>
      </c>
      <c r="L143" s="9">
        <v>12</v>
      </c>
      <c r="M143" s="43"/>
      <c r="N143" s="24">
        <f t="shared" si="2"/>
        <v>0</v>
      </c>
      <c r="O143" s="97"/>
    </row>
    <row r="144" spans="1:15" x14ac:dyDescent="0.25">
      <c r="A144" s="104">
        <v>449688</v>
      </c>
      <c r="B144" s="4" t="s">
        <v>815</v>
      </c>
      <c r="C144" s="4" t="s">
        <v>816</v>
      </c>
      <c r="D144" s="75" t="str">
        <f>_xlfn.XLOOKUP(B144,'Product Hierarchy'!A:A,'Product Hierarchy'!C:C)</f>
        <v>LEVEL5</v>
      </c>
      <c r="E144" s="75" t="str">
        <f>_xlfn.XLOOKUP(B144,'Product Hierarchy'!A:A,'Product Hierarchy'!E:E)</f>
        <v>Drywall Hand Tools</v>
      </c>
      <c r="F144" s="75" t="str">
        <f>_xlfn.XLOOKUP(B144,'Product Hierarchy'!A:A,'Product Hierarchy'!F:F)</f>
        <v>Trowels</v>
      </c>
      <c r="G144" s="76">
        <v>75.989999999999995</v>
      </c>
      <c r="H144" s="76">
        <v>68.39</v>
      </c>
      <c r="I144" s="6">
        <v>47.87</v>
      </c>
      <c r="J144" s="5" t="s">
        <v>26</v>
      </c>
      <c r="K144" s="5">
        <v>1</v>
      </c>
      <c r="L144" s="5">
        <v>12</v>
      </c>
      <c r="M144" s="43"/>
      <c r="N144" s="24">
        <f t="shared" si="2"/>
        <v>0</v>
      </c>
      <c r="O144" s="97"/>
    </row>
    <row r="145" spans="1:15" x14ac:dyDescent="0.25">
      <c r="A145" s="104">
        <v>449689</v>
      </c>
      <c r="B145" s="4" t="s">
        <v>51</v>
      </c>
      <c r="C145" s="4" t="s">
        <v>669</v>
      </c>
      <c r="D145" s="75" t="str">
        <f>_xlfn.XLOOKUP(B145,'Product Hierarchy'!A:A,'Product Hierarchy'!C:C)</f>
        <v>LEVEL5</v>
      </c>
      <c r="E145" s="75" t="str">
        <f>_xlfn.XLOOKUP(B145,'Product Hierarchy'!A:A,'Product Hierarchy'!E:E)</f>
        <v>Drywall Hand Tools</v>
      </c>
      <c r="F145" s="75" t="str">
        <f>_xlfn.XLOOKUP(B145,'Product Hierarchy'!A:A,'Product Hierarchy'!F:F)</f>
        <v>Trowels</v>
      </c>
      <c r="G145" s="76">
        <v>53.99</v>
      </c>
      <c r="H145" s="76">
        <v>48.59</v>
      </c>
      <c r="I145" s="6">
        <v>34.01</v>
      </c>
      <c r="J145" s="5" t="s">
        <v>26</v>
      </c>
      <c r="K145" s="5">
        <v>1</v>
      </c>
      <c r="L145" s="5">
        <v>12</v>
      </c>
      <c r="M145" s="43"/>
      <c r="N145" s="24">
        <f t="shared" si="2"/>
        <v>0</v>
      </c>
      <c r="O145" s="97"/>
    </row>
    <row r="146" spans="1:15" x14ac:dyDescent="0.25">
      <c r="A146" s="104">
        <v>449691</v>
      </c>
      <c r="B146" s="4" t="s">
        <v>52</v>
      </c>
      <c r="C146" s="4" t="s">
        <v>670</v>
      </c>
      <c r="D146" s="75" t="str">
        <f>_xlfn.XLOOKUP(B146,'Product Hierarchy'!A:A,'Product Hierarchy'!C:C)</f>
        <v>LEVEL5</v>
      </c>
      <c r="E146" s="75" t="str">
        <f>_xlfn.XLOOKUP(B146,'Product Hierarchy'!A:A,'Product Hierarchy'!E:E)</f>
        <v>Drywall Hand Tools</v>
      </c>
      <c r="F146" s="75" t="str">
        <f>_xlfn.XLOOKUP(B146,'Product Hierarchy'!A:A,'Product Hierarchy'!F:F)</f>
        <v>Trowels</v>
      </c>
      <c r="G146" s="76">
        <v>58.49</v>
      </c>
      <c r="H146" s="76">
        <v>52.64</v>
      </c>
      <c r="I146" s="6">
        <v>36.85</v>
      </c>
      <c r="J146" s="5" t="s">
        <v>26</v>
      </c>
      <c r="K146" s="5">
        <v>1</v>
      </c>
      <c r="L146" s="5">
        <v>12</v>
      </c>
      <c r="M146" s="43"/>
      <c r="N146" s="24">
        <f t="shared" si="2"/>
        <v>0</v>
      </c>
      <c r="O146" s="97"/>
    </row>
    <row r="147" spans="1:15" x14ac:dyDescent="0.25">
      <c r="A147" s="104">
        <v>449693</v>
      </c>
      <c r="B147" s="4" t="s">
        <v>53</v>
      </c>
      <c r="C147" s="4" t="s">
        <v>671</v>
      </c>
      <c r="D147" s="75" t="str">
        <f>_xlfn.XLOOKUP(B147,'Product Hierarchy'!A:A,'Product Hierarchy'!C:C)</f>
        <v>LEVEL5</v>
      </c>
      <c r="E147" s="75" t="str">
        <f>_xlfn.XLOOKUP(B147,'Product Hierarchy'!A:A,'Product Hierarchy'!E:E)</f>
        <v>Drywall Hand Tools</v>
      </c>
      <c r="F147" s="75" t="str">
        <f>_xlfn.XLOOKUP(B147,'Product Hierarchy'!A:A,'Product Hierarchy'!F:F)</f>
        <v>Trowels</v>
      </c>
      <c r="G147" s="76">
        <v>62.99</v>
      </c>
      <c r="H147" s="76">
        <v>56.69</v>
      </c>
      <c r="I147" s="6">
        <v>39.68</v>
      </c>
      <c r="J147" s="5" t="s">
        <v>26</v>
      </c>
      <c r="K147" s="5">
        <v>1</v>
      </c>
      <c r="L147" s="5">
        <v>12</v>
      </c>
      <c r="M147" s="43"/>
      <c r="N147" s="24">
        <f t="shared" si="2"/>
        <v>0</v>
      </c>
      <c r="O147" s="97"/>
    </row>
    <row r="148" spans="1:15" x14ac:dyDescent="0.25">
      <c r="A148" s="104">
        <v>449695</v>
      </c>
      <c r="B148" s="4" t="s">
        <v>817</v>
      </c>
      <c r="C148" s="4" t="s">
        <v>818</v>
      </c>
      <c r="D148" s="75" t="str">
        <f>_xlfn.XLOOKUP(B148,'Product Hierarchy'!A:A,'Product Hierarchy'!C:C)</f>
        <v>LEVEL5</v>
      </c>
      <c r="E148" s="75" t="str">
        <f>_xlfn.XLOOKUP(B148,'Product Hierarchy'!A:A,'Product Hierarchy'!E:E)</f>
        <v>Drywall Hand Tools</v>
      </c>
      <c r="F148" s="75" t="str">
        <f>_xlfn.XLOOKUP(B148,'Product Hierarchy'!A:A,'Product Hierarchy'!F:F)</f>
        <v>Trowels</v>
      </c>
      <c r="G148" s="76">
        <v>64.989999999999995</v>
      </c>
      <c r="H148" s="76">
        <v>58.49</v>
      </c>
      <c r="I148" s="6">
        <v>40.94</v>
      </c>
      <c r="J148" s="5" t="s">
        <v>26</v>
      </c>
      <c r="K148" s="5">
        <v>1</v>
      </c>
      <c r="L148" s="5">
        <v>12</v>
      </c>
      <c r="M148" s="43"/>
      <c r="N148" s="24">
        <f t="shared" si="2"/>
        <v>0</v>
      </c>
      <c r="O148" s="97"/>
    </row>
    <row r="149" spans="1:15" x14ac:dyDescent="0.25">
      <c r="A149" s="104">
        <v>449696</v>
      </c>
      <c r="B149" s="4" t="s">
        <v>819</v>
      </c>
      <c r="C149" s="4" t="s">
        <v>820</v>
      </c>
      <c r="D149" s="75" t="str">
        <f>_xlfn.XLOOKUP(B149,'Product Hierarchy'!A:A,'Product Hierarchy'!C:C)</f>
        <v>LEVEL5</v>
      </c>
      <c r="E149" s="75" t="str">
        <f>_xlfn.XLOOKUP(B149,'Product Hierarchy'!A:A,'Product Hierarchy'!E:E)</f>
        <v>Drywall Hand Tools</v>
      </c>
      <c r="F149" s="75" t="str">
        <f>_xlfn.XLOOKUP(B149,'Product Hierarchy'!A:A,'Product Hierarchy'!F:F)</f>
        <v>Trowels</v>
      </c>
      <c r="G149" s="76">
        <v>70.489999999999995</v>
      </c>
      <c r="H149" s="76">
        <v>63.44</v>
      </c>
      <c r="I149" s="6">
        <v>44.41</v>
      </c>
      <c r="J149" s="5" t="s">
        <v>26</v>
      </c>
      <c r="K149" s="5">
        <v>1</v>
      </c>
      <c r="L149" s="5">
        <v>12</v>
      </c>
      <c r="M149" s="43"/>
      <c r="N149" s="24">
        <f t="shared" si="2"/>
        <v>0</v>
      </c>
      <c r="O149" s="97"/>
    </row>
    <row r="150" spans="1:15" x14ac:dyDescent="0.25">
      <c r="A150" s="104">
        <v>449697</v>
      </c>
      <c r="B150" s="4" t="s">
        <v>821</v>
      </c>
      <c r="C150" s="4" t="s">
        <v>822</v>
      </c>
      <c r="D150" s="75" t="str">
        <f>_xlfn.XLOOKUP(B150,'Product Hierarchy'!A:A,'Product Hierarchy'!C:C)</f>
        <v>LEVEL5</v>
      </c>
      <c r="E150" s="75" t="str">
        <f>_xlfn.XLOOKUP(B150,'Product Hierarchy'!A:A,'Product Hierarchy'!E:E)</f>
        <v>Drywall Hand Tools</v>
      </c>
      <c r="F150" s="75" t="str">
        <f>_xlfn.XLOOKUP(B150,'Product Hierarchy'!A:A,'Product Hierarchy'!F:F)</f>
        <v>Trowels</v>
      </c>
      <c r="G150" s="76">
        <v>82.49</v>
      </c>
      <c r="H150" s="76">
        <v>74.239999999999995</v>
      </c>
      <c r="I150" s="6">
        <v>51.97</v>
      </c>
      <c r="J150" s="5" t="s">
        <v>26</v>
      </c>
      <c r="K150" s="5">
        <v>1</v>
      </c>
      <c r="L150" s="5">
        <v>12</v>
      </c>
      <c r="M150" s="43"/>
      <c r="N150" s="24">
        <f t="shared" si="2"/>
        <v>0</v>
      </c>
      <c r="O150" s="97"/>
    </row>
    <row r="151" spans="1:15" x14ac:dyDescent="0.25">
      <c r="A151" s="104">
        <v>449701</v>
      </c>
      <c r="B151" s="4" t="s">
        <v>54</v>
      </c>
      <c r="C151" s="4" t="s">
        <v>672</v>
      </c>
      <c r="D151" s="75" t="str">
        <f>_xlfn.XLOOKUP(B151,'Product Hierarchy'!A:A,'Product Hierarchy'!C:C)</f>
        <v>LEVEL5</v>
      </c>
      <c r="E151" s="75" t="str">
        <f>_xlfn.XLOOKUP(B151,'Product Hierarchy'!A:A,'Product Hierarchy'!E:E)</f>
        <v>Drywall Hand Tools</v>
      </c>
      <c r="F151" s="75" t="str">
        <f>_xlfn.XLOOKUP(B151,'Product Hierarchy'!A:A,'Product Hierarchy'!F:F)</f>
        <v>Trowels</v>
      </c>
      <c r="G151" s="76">
        <v>49.99</v>
      </c>
      <c r="H151" s="76">
        <v>44.99</v>
      </c>
      <c r="I151" s="6">
        <v>31.49</v>
      </c>
      <c r="J151" s="5" t="s">
        <v>26</v>
      </c>
      <c r="K151" s="5">
        <v>1</v>
      </c>
      <c r="L151" s="5">
        <v>12</v>
      </c>
      <c r="M151" s="43"/>
      <c r="N151" s="24">
        <f t="shared" si="2"/>
        <v>0</v>
      </c>
      <c r="O151" s="97"/>
    </row>
    <row r="152" spans="1:15" x14ac:dyDescent="0.25">
      <c r="A152" s="104">
        <v>449703</v>
      </c>
      <c r="B152" s="4" t="s">
        <v>55</v>
      </c>
      <c r="C152" s="4" t="s">
        <v>673</v>
      </c>
      <c r="D152" s="75" t="str">
        <f>_xlfn.XLOOKUP(B152,'Product Hierarchy'!A:A,'Product Hierarchy'!C:C)</f>
        <v>LEVEL5</v>
      </c>
      <c r="E152" s="75" t="str">
        <f>_xlfn.XLOOKUP(B152,'Product Hierarchy'!A:A,'Product Hierarchy'!E:E)</f>
        <v>Drywall Hand Tools</v>
      </c>
      <c r="F152" s="75" t="str">
        <f>_xlfn.XLOOKUP(B152,'Product Hierarchy'!A:A,'Product Hierarchy'!F:F)</f>
        <v>Trowels</v>
      </c>
      <c r="G152" s="76">
        <v>53.99</v>
      </c>
      <c r="H152" s="76">
        <v>48.59</v>
      </c>
      <c r="I152" s="6">
        <v>34.01</v>
      </c>
      <c r="J152" s="5" t="s">
        <v>26</v>
      </c>
      <c r="K152" s="5">
        <v>1</v>
      </c>
      <c r="L152" s="5">
        <v>12</v>
      </c>
      <c r="M152" s="43"/>
      <c r="N152" s="24">
        <f t="shared" si="2"/>
        <v>0</v>
      </c>
      <c r="O152" s="97"/>
    </row>
    <row r="153" spans="1:15" x14ac:dyDescent="0.25">
      <c r="A153" s="104">
        <v>449706</v>
      </c>
      <c r="B153" s="4" t="s">
        <v>823</v>
      </c>
      <c r="C153" s="4" t="s">
        <v>824</v>
      </c>
      <c r="D153" s="75" t="str">
        <f>_xlfn.XLOOKUP(B153,'Product Hierarchy'!A:A,'Product Hierarchy'!C:C)</f>
        <v>LEVEL5</v>
      </c>
      <c r="E153" s="75" t="str">
        <f>_xlfn.XLOOKUP(B153,'Product Hierarchy'!A:A,'Product Hierarchy'!E:E)</f>
        <v>Drywall Hand Tools</v>
      </c>
      <c r="F153" s="75" t="str">
        <f>_xlfn.XLOOKUP(B153,'Product Hierarchy'!A:A,'Product Hierarchy'!F:F)</f>
        <v>Trowels</v>
      </c>
      <c r="G153" s="76">
        <v>56.49</v>
      </c>
      <c r="H153" s="76">
        <v>50.84</v>
      </c>
      <c r="I153" s="6">
        <v>35.590000000000003</v>
      </c>
      <c r="J153" s="5" t="s">
        <v>26</v>
      </c>
      <c r="K153" s="5">
        <v>1</v>
      </c>
      <c r="L153" s="5">
        <v>12</v>
      </c>
      <c r="M153" s="43"/>
      <c r="N153" s="24">
        <f t="shared" si="2"/>
        <v>0</v>
      </c>
      <c r="O153" s="97"/>
    </row>
    <row r="154" spans="1:15" x14ac:dyDescent="0.25">
      <c r="A154" s="104">
        <v>449707</v>
      </c>
      <c r="B154" s="4" t="s">
        <v>825</v>
      </c>
      <c r="C154" s="4" t="s">
        <v>826</v>
      </c>
      <c r="D154" s="75" t="str">
        <f>_xlfn.XLOOKUP(B154,'Product Hierarchy'!A:A,'Product Hierarchy'!C:C)</f>
        <v>LEVEL5</v>
      </c>
      <c r="E154" s="75" t="str">
        <f>_xlfn.XLOOKUP(B154,'Product Hierarchy'!A:A,'Product Hierarchy'!E:E)</f>
        <v>Drywall Hand Tools</v>
      </c>
      <c r="F154" s="75" t="str">
        <f>_xlfn.XLOOKUP(B154,'Product Hierarchy'!A:A,'Product Hierarchy'!F:F)</f>
        <v>Trowels</v>
      </c>
      <c r="G154" s="76">
        <v>60.49</v>
      </c>
      <c r="H154" s="76">
        <v>54.44</v>
      </c>
      <c r="I154" s="6">
        <v>38.11</v>
      </c>
      <c r="J154" s="5" t="s">
        <v>26</v>
      </c>
      <c r="K154" s="5">
        <v>1</v>
      </c>
      <c r="L154" s="5">
        <v>12</v>
      </c>
      <c r="M154" s="43"/>
      <c r="N154" s="24">
        <f t="shared" si="2"/>
        <v>0</v>
      </c>
      <c r="O154" s="97"/>
    </row>
    <row r="155" spans="1:15" x14ac:dyDescent="0.25">
      <c r="A155" s="104">
        <v>449708</v>
      </c>
      <c r="B155" s="4" t="s">
        <v>827</v>
      </c>
      <c r="C155" s="4" t="s">
        <v>828</v>
      </c>
      <c r="D155" s="75" t="str">
        <f>_xlfn.XLOOKUP(B155,'Product Hierarchy'!A:A,'Product Hierarchy'!C:C)</f>
        <v>LEVEL5</v>
      </c>
      <c r="E155" s="75" t="str">
        <f>_xlfn.XLOOKUP(B155,'Product Hierarchy'!A:A,'Product Hierarchy'!E:E)</f>
        <v>Drywall Hand Tools</v>
      </c>
      <c r="F155" s="75" t="str">
        <f>_xlfn.XLOOKUP(B155,'Product Hierarchy'!A:A,'Product Hierarchy'!F:F)</f>
        <v>Trowels</v>
      </c>
      <c r="G155" s="76">
        <v>66.989999999999995</v>
      </c>
      <c r="H155" s="76">
        <v>60.29</v>
      </c>
      <c r="I155" s="6">
        <v>42.2</v>
      </c>
      <c r="J155" s="5" t="s">
        <v>26</v>
      </c>
      <c r="K155" s="5">
        <v>1</v>
      </c>
      <c r="L155" s="5">
        <v>12</v>
      </c>
      <c r="M155" s="43"/>
      <c r="N155" s="24">
        <f t="shared" si="2"/>
        <v>0</v>
      </c>
      <c r="O155" s="97"/>
    </row>
    <row r="156" spans="1:15" x14ac:dyDescent="0.25">
      <c r="A156" s="104">
        <v>449709</v>
      </c>
      <c r="B156" s="4" t="s">
        <v>56</v>
      </c>
      <c r="C156" s="4" t="s">
        <v>674</v>
      </c>
      <c r="D156" s="75" t="str">
        <f>_xlfn.XLOOKUP(B156,'Product Hierarchy'!A:A,'Product Hierarchy'!C:C)</f>
        <v>LEVEL5</v>
      </c>
      <c r="E156" s="75" t="str">
        <f>_xlfn.XLOOKUP(B156,'Product Hierarchy'!A:A,'Product Hierarchy'!E:E)</f>
        <v>Drywall Hand Tools</v>
      </c>
      <c r="F156" s="75" t="str">
        <f>_xlfn.XLOOKUP(B156,'Product Hierarchy'!A:A,'Product Hierarchy'!F:F)</f>
        <v>Jab Saws</v>
      </c>
      <c r="G156" s="76">
        <v>16.489999999999998</v>
      </c>
      <c r="H156" s="76">
        <v>14.84</v>
      </c>
      <c r="I156" s="6">
        <v>10.39</v>
      </c>
      <c r="J156" s="5" t="s">
        <v>26</v>
      </c>
      <c r="K156" s="5">
        <v>6</v>
      </c>
      <c r="L156" s="5">
        <v>24</v>
      </c>
      <c r="M156" s="43"/>
      <c r="N156" s="24">
        <f t="shared" si="2"/>
        <v>0</v>
      </c>
      <c r="O156" s="97"/>
    </row>
    <row r="157" spans="1:15" x14ac:dyDescent="0.25">
      <c r="A157" s="104">
        <v>449714</v>
      </c>
      <c r="B157" s="4" t="s">
        <v>57</v>
      </c>
      <c r="C157" s="4" t="s">
        <v>675</v>
      </c>
      <c r="D157" s="75" t="str">
        <f>_xlfn.XLOOKUP(B157,'Product Hierarchy'!A:A,'Product Hierarchy'!C:C)</f>
        <v>LEVEL5</v>
      </c>
      <c r="E157" s="75" t="str">
        <f>_xlfn.XLOOKUP(B157,'Product Hierarchy'!A:A,'Product Hierarchy'!E:E)</f>
        <v>Drywall Hand Tools</v>
      </c>
      <c r="F157" s="75" t="str">
        <f>_xlfn.XLOOKUP(B157,'Product Hierarchy'!A:A,'Product Hierarchy'!F:F)</f>
        <v>Taping Knives</v>
      </c>
      <c r="G157" s="76">
        <v>15.49</v>
      </c>
      <c r="H157" s="76">
        <v>13.94</v>
      </c>
      <c r="I157" s="6">
        <v>9.76</v>
      </c>
      <c r="J157" s="5" t="s">
        <v>26</v>
      </c>
      <c r="K157" s="5">
        <v>4</v>
      </c>
      <c r="L157" s="5">
        <v>24</v>
      </c>
      <c r="M157" s="43"/>
      <c r="N157" s="24">
        <f t="shared" si="2"/>
        <v>0</v>
      </c>
      <c r="O157" s="97"/>
    </row>
    <row r="158" spans="1:15" x14ac:dyDescent="0.25">
      <c r="A158" s="104">
        <v>449715</v>
      </c>
      <c r="B158" s="4" t="s">
        <v>58</v>
      </c>
      <c r="C158" s="4" t="s">
        <v>676</v>
      </c>
      <c r="D158" s="75" t="str">
        <f>_xlfn.XLOOKUP(B158,'Product Hierarchy'!A:A,'Product Hierarchy'!C:C)</f>
        <v>LEVEL5</v>
      </c>
      <c r="E158" s="75" t="str">
        <f>_xlfn.XLOOKUP(B158,'Product Hierarchy'!A:A,'Product Hierarchy'!E:E)</f>
        <v>Drywall Hand Tools</v>
      </c>
      <c r="F158" s="75" t="str">
        <f>_xlfn.XLOOKUP(B158,'Product Hierarchy'!A:A,'Product Hierarchy'!F:F)</f>
        <v>Taping Knives</v>
      </c>
      <c r="G158" s="76">
        <v>16.489999999999998</v>
      </c>
      <c r="H158" s="76">
        <v>14.84</v>
      </c>
      <c r="I158" s="6">
        <v>10.39</v>
      </c>
      <c r="J158" s="5" t="s">
        <v>26</v>
      </c>
      <c r="K158" s="5">
        <v>4</v>
      </c>
      <c r="L158" s="5">
        <v>24</v>
      </c>
      <c r="M158" s="43"/>
      <c r="N158" s="24">
        <f t="shared" si="2"/>
        <v>0</v>
      </c>
      <c r="O158" s="97"/>
    </row>
    <row r="159" spans="1:15" x14ac:dyDescent="0.25">
      <c r="A159" s="104">
        <v>449716</v>
      </c>
      <c r="B159" s="4" t="s">
        <v>59</v>
      </c>
      <c r="C159" s="4" t="s">
        <v>677</v>
      </c>
      <c r="D159" s="75" t="str">
        <f>_xlfn.XLOOKUP(B159,'Product Hierarchy'!A:A,'Product Hierarchy'!C:C)</f>
        <v>LEVEL5</v>
      </c>
      <c r="E159" s="75" t="str">
        <f>_xlfn.XLOOKUP(B159,'Product Hierarchy'!A:A,'Product Hierarchy'!E:E)</f>
        <v>Drywall Hand Tools</v>
      </c>
      <c r="F159" s="75" t="str">
        <f>_xlfn.XLOOKUP(B159,'Product Hierarchy'!A:A,'Product Hierarchy'!F:F)</f>
        <v>Taping Knives</v>
      </c>
      <c r="G159" s="76">
        <v>17.489999999999998</v>
      </c>
      <c r="H159" s="76">
        <v>15.74</v>
      </c>
      <c r="I159" s="6">
        <v>11.02</v>
      </c>
      <c r="J159" s="5" t="s">
        <v>26</v>
      </c>
      <c r="K159" s="5">
        <v>4</v>
      </c>
      <c r="L159" s="5">
        <v>24</v>
      </c>
      <c r="M159" s="43"/>
      <c r="N159" s="24">
        <f t="shared" si="2"/>
        <v>0</v>
      </c>
      <c r="O159" s="97"/>
    </row>
    <row r="160" spans="1:15" x14ac:dyDescent="0.25">
      <c r="A160" s="104">
        <v>449717</v>
      </c>
      <c r="B160" s="4" t="s">
        <v>60</v>
      </c>
      <c r="C160" s="4" t="s">
        <v>678</v>
      </c>
      <c r="D160" s="75" t="str">
        <f>_xlfn.XLOOKUP(B160,'Product Hierarchy'!A:A,'Product Hierarchy'!C:C)</f>
        <v>LEVEL5</v>
      </c>
      <c r="E160" s="75" t="str">
        <f>_xlfn.XLOOKUP(B160,'Product Hierarchy'!A:A,'Product Hierarchy'!E:E)</f>
        <v>Drywall Hand Tools</v>
      </c>
      <c r="F160" s="75" t="str">
        <f>_xlfn.XLOOKUP(B160,'Product Hierarchy'!A:A,'Product Hierarchy'!F:F)</f>
        <v>Taping Knives</v>
      </c>
      <c r="G160" s="76">
        <v>18.489999999999998</v>
      </c>
      <c r="H160" s="76">
        <v>16.64</v>
      </c>
      <c r="I160" s="6">
        <v>11.65</v>
      </c>
      <c r="J160" s="5" t="s">
        <v>26</v>
      </c>
      <c r="K160" s="5">
        <v>4</v>
      </c>
      <c r="L160" s="5">
        <v>24</v>
      </c>
      <c r="M160" s="43"/>
      <c r="N160" s="24">
        <f t="shared" si="2"/>
        <v>0</v>
      </c>
      <c r="O160" s="97"/>
    </row>
    <row r="161" spans="1:15" x14ac:dyDescent="0.25">
      <c r="A161" s="104">
        <v>449718</v>
      </c>
      <c r="B161" s="4" t="s">
        <v>61</v>
      </c>
      <c r="C161" s="4" t="s">
        <v>679</v>
      </c>
      <c r="D161" s="75" t="str">
        <f>_xlfn.XLOOKUP(B161,'Product Hierarchy'!A:A,'Product Hierarchy'!C:C)</f>
        <v>LEVEL5</v>
      </c>
      <c r="E161" s="75" t="str">
        <f>_xlfn.XLOOKUP(B161,'Product Hierarchy'!A:A,'Product Hierarchy'!E:E)</f>
        <v>Drywall Hand Tools</v>
      </c>
      <c r="F161" s="75" t="str">
        <f>_xlfn.XLOOKUP(B161,'Product Hierarchy'!A:A,'Product Hierarchy'!F:F)</f>
        <v>Taping Knives</v>
      </c>
      <c r="G161" s="76">
        <v>19.489999999999998</v>
      </c>
      <c r="H161" s="76">
        <v>17.54</v>
      </c>
      <c r="I161" s="6">
        <v>12.28</v>
      </c>
      <c r="J161" s="5" t="s">
        <v>26</v>
      </c>
      <c r="K161" s="5">
        <v>4</v>
      </c>
      <c r="L161" s="5">
        <v>24</v>
      </c>
      <c r="M161" s="43"/>
      <c r="N161" s="24">
        <f t="shared" si="2"/>
        <v>0</v>
      </c>
      <c r="O161" s="97"/>
    </row>
    <row r="162" spans="1:15" x14ac:dyDescent="0.25">
      <c r="A162" s="104">
        <v>449719</v>
      </c>
      <c r="B162" s="4" t="s">
        <v>62</v>
      </c>
      <c r="C162" s="4" t="s">
        <v>680</v>
      </c>
      <c r="D162" s="75" t="str">
        <f>_xlfn.XLOOKUP(B162,'Product Hierarchy'!A:A,'Product Hierarchy'!C:C)</f>
        <v>LEVEL5</v>
      </c>
      <c r="E162" s="75" t="str">
        <f>_xlfn.XLOOKUP(B162,'Product Hierarchy'!A:A,'Product Hierarchy'!E:E)</f>
        <v>Drywall Hand Tools</v>
      </c>
      <c r="F162" s="75" t="str">
        <f>_xlfn.XLOOKUP(B162,'Product Hierarchy'!A:A,'Product Hierarchy'!F:F)</f>
        <v>Taping Knives</v>
      </c>
      <c r="G162" s="76">
        <v>18.489999999999998</v>
      </c>
      <c r="H162" s="76">
        <v>16.64</v>
      </c>
      <c r="I162" s="6">
        <v>11.65</v>
      </c>
      <c r="J162" s="5" t="s">
        <v>26</v>
      </c>
      <c r="K162" s="5">
        <v>4</v>
      </c>
      <c r="L162" s="5">
        <v>24</v>
      </c>
      <c r="M162" s="43"/>
      <c r="N162" s="24">
        <f t="shared" si="2"/>
        <v>0</v>
      </c>
      <c r="O162" s="97"/>
    </row>
    <row r="163" spans="1:15" x14ac:dyDescent="0.25">
      <c r="A163" s="104">
        <v>449720</v>
      </c>
      <c r="B163" s="4" t="s">
        <v>63</v>
      </c>
      <c r="C163" s="4" t="s">
        <v>681</v>
      </c>
      <c r="D163" s="75" t="str">
        <f>_xlfn.XLOOKUP(B163,'Product Hierarchy'!A:A,'Product Hierarchy'!C:C)</f>
        <v>LEVEL5</v>
      </c>
      <c r="E163" s="75" t="str">
        <f>_xlfn.XLOOKUP(B163,'Product Hierarchy'!A:A,'Product Hierarchy'!E:E)</f>
        <v>Drywall Hand Tools</v>
      </c>
      <c r="F163" s="75" t="str">
        <f>_xlfn.XLOOKUP(B163,'Product Hierarchy'!A:A,'Product Hierarchy'!F:F)</f>
        <v>Taping Knives</v>
      </c>
      <c r="G163" s="76">
        <v>19.489999999999998</v>
      </c>
      <c r="H163" s="76">
        <v>17.54</v>
      </c>
      <c r="I163" s="6">
        <v>12.28</v>
      </c>
      <c r="J163" s="5" t="s">
        <v>26</v>
      </c>
      <c r="K163" s="5">
        <v>4</v>
      </c>
      <c r="L163" s="5">
        <v>24</v>
      </c>
      <c r="M163" s="43"/>
      <c r="N163" s="24">
        <f t="shared" si="2"/>
        <v>0</v>
      </c>
      <c r="O163" s="97"/>
    </row>
    <row r="164" spans="1:15" x14ac:dyDescent="0.25">
      <c r="A164" s="104">
        <v>449721</v>
      </c>
      <c r="B164" s="4" t="s">
        <v>64</v>
      </c>
      <c r="C164" s="4" t="s">
        <v>682</v>
      </c>
      <c r="D164" s="75" t="str">
        <f>_xlfn.XLOOKUP(B164,'Product Hierarchy'!A:A,'Product Hierarchy'!C:C)</f>
        <v>LEVEL5</v>
      </c>
      <c r="E164" s="75" t="str">
        <f>_xlfn.XLOOKUP(B164,'Product Hierarchy'!A:A,'Product Hierarchy'!E:E)</f>
        <v>Drywall Hand Tools</v>
      </c>
      <c r="F164" s="75" t="str">
        <f>_xlfn.XLOOKUP(B164,'Product Hierarchy'!A:A,'Product Hierarchy'!F:F)</f>
        <v>Taping Knives</v>
      </c>
      <c r="G164" s="76">
        <v>20.99</v>
      </c>
      <c r="H164" s="76">
        <v>18.89</v>
      </c>
      <c r="I164" s="6">
        <v>13.22</v>
      </c>
      <c r="J164" s="5" t="s">
        <v>26</v>
      </c>
      <c r="K164" s="5">
        <v>4</v>
      </c>
      <c r="L164" s="5">
        <v>24</v>
      </c>
      <c r="M164" s="43"/>
      <c r="N164" s="24">
        <f t="shared" si="2"/>
        <v>0</v>
      </c>
      <c r="O164" s="97"/>
    </row>
    <row r="165" spans="1:15" x14ac:dyDescent="0.25">
      <c r="A165" s="104">
        <v>449722</v>
      </c>
      <c r="B165" s="4" t="s">
        <v>65</v>
      </c>
      <c r="C165" s="4" t="s">
        <v>683</v>
      </c>
      <c r="D165" s="75" t="str">
        <f>_xlfn.XLOOKUP(B165,'Product Hierarchy'!A:A,'Product Hierarchy'!C:C)</f>
        <v>LEVEL5</v>
      </c>
      <c r="E165" s="75" t="str">
        <f>_xlfn.XLOOKUP(B165,'Product Hierarchy'!A:A,'Product Hierarchy'!E:E)</f>
        <v>Drywall Hand Tools</v>
      </c>
      <c r="F165" s="75" t="str">
        <f>_xlfn.XLOOKUP(B165,'Product Hierarchy'!A:A,'Product Hierarchy'!F:F)</f>
        <v>Taping Knives</v>
      </c>
      <c r="G165" s="76">
        <v>21.99</v>
      </c>
      <c r="H165" s="76">
        <v>19.79</v>
      </c>
      <c r="I165" s="6">
        <v>13.85</v>
      </c>
      <c r="J165" s="5" t="s">
        <v>26</v>
      </c>
      <c r="K165" s="5">
        <v>4</v>
      </c>
      <c r="L165" s="5">
        <v>24</v>
      </c>
      <c r="M165" s="43"/>
      <c r="N165" s="24">
        <f t="shared" si="2"/>
        <v>0</v>
      </c>
      <c r="O165" s="97"/>
    </row>
    <row r="166" spans="1:15" x14ac:dyDescent="0.25">
      <c r="A166" s="104">
        <v>449723</v>
      </c>
      <c r="B166" s="4" t="s">
        <v>66</v>
      </c>
      <c r="C166" s="4" t="s">
        <v>684</v>
      </c>
      <c r="D166" s="75" t="str">
        <f>_xlfn.XLOOKUP(B166,'Product Hierarchy'!A:A,'Product Hierarchy'!C:C)</f>
        <v>LEVEL5</v>
      </c>
      <c r="E166" s="75" t="str">
        <f>_xlfn.XLOOKUP(B166,'Product Hierarchy'!A:A,'Product Hierarchy'!E:E)</f>
        <v>Drywall Hand Tools</v>
      </c>
      <c r="F166" s="75" t="str">
        <f>_xlfn.XLOOKUP(B166,'Product Hierarchy'!A:A,'Product Hierarchy'!F:F)</f>
        <v>Joint Knives</v>
      </c>
      <c r="G166" s="76">
        <v>14.49</v>
      </c>
      <c r="H166" s="76">
        <v>13.04</v>
      </c>
      <c r="I166" s="6">
        <v>9.1300000000000008</v>
      </c>
      <c r="J166" s="5" t="s">
        <v>26</v>
      </c>
      <c r="K166" s="5">
        <v>4</v>
      </c>
      <c r="L166" s="5">
        <v>48</v>
      </c>
      <c r="M166" s="43"/>
      <c r="N166" s="24">
        <f t="shared" si="2"/>
        <v>0</v>
      </c>
      <c r="O166" s="97"/>
    </row>
    <row r="167" spans="1:15" x14ac:dyDescent="0.25">
      <c r="A167" s="104">
        <v>449724</v>
      </c>
      <c r="B167" s="4" t="s">
        <v>67</v>
      </c>
      <c r="C167" s="4" t="s">
        <v>685</v>
      </c>
      <c r="D167" s="75" t="str">
        <f>_xlfn.XLOOKUP(B167,'Product Hierarchy'!A:A,'Product Hierarchy'!C:C)</f>
        <v>LEVEL5</v>
      </c>
      <c r="E167" s="75" t="str">
        <f>_xlfn.XLOOKUP(B167,'Product Hierarchy'!A:A,'Product Hierarchy'!E:E)</f>
        <v>Drywall Hand Tools</v>
      </c>
      <c r="F167" s="75" t="str">
        <f>_xlfn.XLOOKUP(B167,'Product Hierarchy'!A:A,'Product Hierarchy'!F:F)</f>
        <v>Joint Knives</v>
      </c>
      <c r="G167" s="76">
        <v>15.49</v>
      </c>
      <c r="H167" s="76">
        <v>13.94</v>
      </c>
      <c r="I167" s="6">
        <v>9.76</v>
      </c>
      <c r="J167" s="5" t="s">
        <v>26</v>
      </c>
      <c r="K167" s="5">
        <v>4</v>
      </c>
      <c r="L167" s="5">
        <v>48</v>
      </c>
      <c r="M167" s="43"/>
      <c r="N167" s="24">
        <f t="shared" si="2"/>
        <v>0</v>
      </c>
      <c r="O167" s="97"/>
    </row>
    <row r="168" spans="1:15" x14ac:dyDescent="0.25">
      <c r="A168" s="104">
        <v>449725</v>
      </c>
      <c r="B168" s="4" t="s">
        <v>68</v>
      </c>
      <c r="C168" s="4" t="s">
        <v>686</v>
      </c>
      <c r="D168" s="75" t="str">
        <f>_xlfn.XLOOKUP(B168,'Product Hierarchy'!A:A,'Product Hierarchy'!C:C)</f>
        <v>LEVEL5</v>
      </c>
      <c r="E168" s="75" t="str">
        <f>_xlfn.XLOOKUP(B168,'Product Hierarchy'!A:A,'Product Hierarchy'!E:E)</f>
        <v>Drywall Hand Tools</v>
      </c>
      <c r="F168" s="75" t="str">
        <f>_xlfn.XLOOKUP(B168,'Product Hierarchy'!A:A,'Product Hierarchy'!F:F)</f>
        <v>Joint Knives</v>
      </c>
      <c r="G168" s="76">
        <v>16.489999999999998</v>
      </c>
      <c r="H168" s="76">
        <v>14.84</v>
      </c>
      <c r="I168" s="6">
        <v>10.39</v>
      </c>
      <c r="J168" s="5" t="s">
        <v>26</v>
      </c>
      <c r="K168" s="5">
        <v>4</v>
      </c>
      <c r="L168" s="5">
        <v>48</v>
      </c>
      <c r="M168" s="43"/>
      <c r="N168" s="24">
        <f t="shared" si="2"/>
        <v>0</v>
      </c>
      <c r="O168" s="97"/>
    </row>
    <row r="169" spans="1:15" x14ac:dyDescent="0.25">
      <c r="A169" s="104">
        <v>449726</v>
      </c>
      <c r="B169" s="4" t="s">
        <v>69</v>
      </c>
      <c r="C169" s="4" t="s">
        <v>687</v>
      </c>
      <c r="D169" s="75" t="str">
        <f>_xlfn.XLOOKUP(B169,'Product Hierarchy'!A:A,'Product Hierarchy'!C:C)</f>
        <v>LEVEL5</v>
      </c>
      <c r="E169" s="75" t="str">
        <f>_xlfn.XLOOKUP(B169,'Product Hierarchy'!A:A,'Product Hierarchy'!E:E)</f>
        <v>Drywall Hand Tools</v>
      </c>
      <c r="F169" s="75" t="str">
        <f>_xlfn.XLOOKUP(B169,'Product Hierarchy'!A:A,'Product Hierarchy'!F:F)</f>
        <v>Joint Knives</v>
      </c>
      <c r="G169" s="76">
        <v>17.489999999999998</v>
      </c>
      <c r="H169" s="76">
        <v>15.74</v>
      </c>
      <c r="I169" s="6">
        <v>11.02</v>
      </c>
      <c r="J169" s="5" t="s">
        <v>26</v>
      </c>
      <c r="K169" s="5">
        <v>4</v>
      </c>
      <c r="L169" s="5">
        <v>48</v>
      </c>
      <c r="M169" s="43"/>
      <c r="N169" s="24">
        <f t="shared" si="2"/>
        <v>0</v>
      </c>
      <c r="O169" s="97"/>
    </row>
    <row r="170" spans="1:15" x14ac:dyDescent="0.25">
      <c r="A170" s="104">
        <v>449727</v>
      </c>
      <c r="B170" s="4" t="s">
        <v>70</v>
      </c>
      <c r="C170" s="4" t="s">
        <v>688</v>
      </c>
      <c r="D170" s="75" t="str">
        <f>_xlfn.XLOOKUP(B170,'Product Hierarchy'!A:A,'Product Hierarchy'!C:C)</f>
        <v>LEVEL5</v>
      </c>
      <c r="E170" s="75" t="str">
        <f>_xlfn.XLOOKUP(B170,'Product Hierarchy'!A:A,'Product Hierarchy'!E:E)</f>
        <v>Drywall Hand Tools</v>
      </c>
      <c r="F170" s="75" t="str">
        <f>_xlfn.XLOOKUP(B170,'Product Hierarchy'!A:A,'Product Hierarchy'!F:F)</f>
        <v>Joint Knives</v>
      </c>
      <c r="G170" s="76">
        <v>18.489999999999998</v>
      </c>
      <c r="H170" s="76">
        <v>16.64</v>
      </c>
      <c r="I170" s="6">
        <v>11.65</v>
      </c>
      <c r="J170" s="5" t="s">
        <v>26</v>
      </c>
      <c r="K170" s="5">
        <v>4</v>
      </c>
      <c r="L170" s="5">
        <v>48</v>
      </c>
      <c r="M170" s="43"/>
      <c r="N170" s="24">
        <f t="shared" si="2"/>
        <v>0</v>
      </c>
      <c r="O170" s="97"/>
    </row>
    <row r="171" spans="1:15" x14ac:dyDescent="0.25">
      <c r="A171" s="104">
        <v>449728</v>
      </c>
      <c r="B171" s="4" t="s">
        <v>71</v>
      </c>
      <c r="C171" s="4" t="s">
        <v>689</v>
      </c>
      <c r="D171" s="75" t="str">
        <f>_xlfn.XLOOKUP(B171,'Product Hierarchy'!A:A,'Product Hierarchy'!C:C)</f>
        <v>LEVEL5</v>
      </c>
      <c r="E171" s="75" t="str">
        <f>_xlfn.XLOOKUP(B171,'Product Hierarchy'!A:A,'Product Hierarchy'!E:E)</f>
        <v>Drywall Hand Tools</v>
      </c>
      <c r="F171" s="75" t="str">
        <f>_xlfn.XLOOKUP(B171,'Product Hierarchy'!A:A,'Product Hierarchy'!F:F)</f>
        <v>Joint Knives</v>
      </c>
      <c r="G171" s="76">
        <v>19.489999999999998</v>
      </c>
      <c r="H171" s="76">
        <v>17.54</v>
      </c>
      <c r="I171" s="6">
        <v>12.28</v>
      </c>
      <c r="J171" s="5" t="s">
        <v>26</v>
      </c>
      <c r="K171" s="5">
        <v>4</v>
      </c>
      <c r="L171" s="5">
        <v>48</v>
      </c>
      <c r="M171" s="43"/>
      <c r="N171" s="24">
        <f t="shared" si="2"/>
        <v>0</v>
      </c>
      <c r="O171" s="97"/>
    </row>
    <row r="172" spans="1:15" x14ac:dyDescent="0.25">
      <c r="A172" s="104">
        <v>449729</v>
      </c>
      <c r="B172" s="4" t="s">
        <v>573</v>
      </c>
      <c r="C172" s="4" t="s">
        <v>574</v>
      </c>
      <c r="D172" s="75" t="str">
        <f>_xlfn.XLOOKUP(B172,'Product Hierarchy'!A:A,'Product Hierarchy'!C:C)</f>
        <v>LEVEL5</v>
      </c>
      <c r="E172" s="75" t="str">
        <f>_xlfn.XLOOKUP(B172,'Product Hierarchy'!A:A,'Product Hierarchy'!E:E)</f>
        <v>Drywall Hand Tools</v>
      </c>
      <c r="F172" s="75" t="str">
        <f>_xlfn.XLOOKUP(B172,'Product Hierarchy'!A:A,'Product Hierarchy'!F:F)</f>
        <v>Joint Knives</v>
      </c>
      <c r="G172" s="76">
        <v>11.99</v>
      </c>
      <c r="H172" s="76">
        <v>10.79</v>
      </c>
      <c r="I172" s="6">
        <v>7.55</v>
      </c>
      <c r="J172" s="5" t="s">
        <v>26</v>
      </c>
      <c r="K172" s="5">
        <v>4</v>
      </c>
      <c r="L172" s="5">
        <v>48</v>
      </c>
      <c r="M172" s="43"/>
      <c r="N172" s="24">
        <f t="shared" si="2"/>
        <v>0</v>
      </c>
      <c r="O172" s="97"/>
    </row>
    <row r="173" spans="1:15" x14ac:dyDescent="0.25">
      <c r="A173" s="104">
        <v>449730</v>
      </c>
      <c r="B173" s="4" t="s">
        <v>575</v>
      </c>
      <c r="C173" s="4" t="s">
        <v>576</v>
      </c>
      <c r="D173" s="75" t="str">
        <f>_xlfn.XLOOKUP(B173,'Product Hierarchy'!A:A,'Product Hierarchy'!C:C)</f>
        <v>LEVEL5</v>
      </c>
      <c r="E173" s="75" t="str">
        <f>_xlfn.XLOOKUP(B173,'Product Hierarchy'!A:A,'Product Hierarchy'!E:E)</f>
        <v>Drywall Hand Tools</v>
      </c>
      <c r="F173" s="75" t="str">
        <f>_xlfn.XLOOKUP(B173,'Product Hierarchy'!A:A,'Product Hierarchy'!F:F)</f>
        <v>Joint Knives</v>
      </c>
      <c r="G173" s="76">
        <v>12.99</v>
      </c>
      <c r="H173" s="76">
        <v>11.69</v>
      </c>
      <c r="I173" s="6">
        <v>8.18</v>
      </c>
      <c r="J173" s="5" t="s">
        <v>26</v>
      </c>
      <c r="K173" s="5">
        <v>4</v>
      </c>
      <c r="L173" s="5">
        <v>48</v>
      </c>
      <c r="M173" s="43"/>
      <c r="N173" s="24">
        <f t="shared" si="2"/>
        <v>0</v>
      </c>
      <c r="O173" s="97"/>
    </row>
    <row r="174" spans="1:15" x14ac:dyDescent="0.25">
      <c r="A174" s="104">
        <v>449731</v>
      </c>
      <c r="B174" s="4" t="s">
        <v>72</v>
      </c>
      <c r="C174" s="4" t="s">
        <v>690</v>
      </c>
      <c r="D174" s="75" t="str">
        <f>_xlfn.XLOOKUP(B174,'Product Hierarchy'!A:A,'Product Hierarchy'!C:C)</f>
        <v>LEVEL5</v>
      </c>
      <c r="E174" s="75" t="str">
        <f>_xlfn.XLOOKUP(B174,'Product Hierarchy'!A:A,'Product Hierarchy'!E:E)</f>
        <v>Drywall Hand Tools</v>
      </c>
      <c r="F174" s="75" t="str">
        <f>_xlfn.XLOOKUP(B174,'Product Hierarchy'!A:A,'Product Hierarchy'!F:F)</f>
        <v>Joint Knives</v>
      </c>
      <c r="G174" s="76">
        <v>12.99</v>
      </c>
      <c r="H174" s="76">
        <v>11.69</v>
      </c>
      <c r="I174" s="6">
        <v>8.18</v>
      </c>
      <c r="J174" s="5" t="s">
        <v>26</v>
      </c>
      <c r="K174" s="5">
        <v>4</v>
      </c>
      <c r="L174" s="5">
        <v>48</v>
      </c>
      <c r="M174" s="43"/>
      <c r="N174" s="24">
        <f t="shared" si="2"/>
        <v>0</v>
      </c>
      <c r="O174" s="97"/>
    </row>
    <row r="175" spans="1:15" x14ac:dyDescent="0.25">
      <c r="A175" s="104">
        <v>449732</v>
      </c>
      <c r="B175" s="4" t="s">
        <v>73</v>
      </c>
      <c r="C175" s="4" t="s">
        <v>691</v>
      </c>
      <c r="D175" s="75" t="str">
        <f>_xlfn.XLOOKUP(B175,'Product Hierarchy'!A:A,'Product Hierarchy'!C:C)</f>
        <v>LEVEL5</v>
      </c>
      <c r="E175" s="75" t="str">
        <f>_xlfn.XLOOKUP(B175,'Product Hierarchy'!A:A,'Product Hierarchy'!E:E)</f>
        <v>Drywall Hand Tools</v>
      </c>
      <c r="F175" s="75" t="str">
        <f>_xlfn.XLOOKUP(B175,'Product Hierarchy'!A:A,'Product Hierarchy'!F:F)</f>
        <v>Joint Knives</v>
      </c>
      <c r="G175" s="76">
        <v>14.49</v>
      </c>
      <c r="H175" s="76">
        <v>13.04</v>
      </c>
      <c r="I175" s="6">
        <v>9.1300000000000008</v>
      </c>
      <c r="J175" s="5" t="s">
        <v>26</v>
      </c>
      <c r="K175" s="5">
        <v>4</v>
      </c>
      <c r="L175" s="5">
        <v>48</v>
      </c>
      <c r="M175" s="43"/>
      <c r="N175" s="24">
        <f t="shared" si="2"/>
        <v>0</v>
      </c>
      <c r="O175" s="97"/>
    </row>
    <row r="176" spans="1:15" x14ac:dyDescent="0.25">
      <c r="A176" s="104">
        <v>449733</v>
      </c>
      <c r="B176" s="4" t="s">
        <v>74</v>
      </c>
      <c r="C176" s="4" t="s">
        <v>692</v>
      </c>
      <c r="D176" s="75" t="str">
        <f>_xlfn.XLOOKUP(B176,'Product Hierarchy'!A:A,'Product Hierarchy'!C:C)</f>
        <v>LEVEL5</v>
      </c>
      <c r="E176" s="75" t="str">
        <f>_xlfn.XLOOKUP(B176,'Product Hierarchy'!A:A,'Product Hierarchy'!E:E)</f>
        <v>Drywall Hand Tools</v>
      </c>
      <c r="F176" s="75" t="str">
        <f>_xlfn.XLOOKUP(B176,'Product Hierarchy'!A:A,'Product Hierarchy'!F:F)</f>
        <v>Joint Knives</v>
      </c>
      <c r="G176" s="76">
        <v>15.49</v>
      </c>
      <c r="H176" s="76">
        <v>13.94</v>
      </c>
      <c r="I176" s="6">
        <v>9.76</v>
      </c>
      <c r="J176" s="5" t="s">
        <v>26</v>
      </c>
      <c r="K176" s="5">
        <v>4</v>
      </c>
      <c r="L176" s="5">
        <v>48</v>
      </c>
      <c r="M176" s="43"/>
      <c r="N176" s="24">
        <f t="shared" si="2"/>
        <v>0</v>
      </c>
      <c r="O176" s="97"/>
    </row>
    <row r="177" spans="1:15" x14ac:dyDescent="0.25">
      <c r="A177" s="104">
        <v>449734</v>
      </c>
      <c r="B177" s="4" t="s">
        <v>75</v>
      </c>
      <c r="C177" s="4" t="s">
        <v>693</v>
      </c>
      <c r="D177" s="75" t="str">
        <f>_xlfn.XLOOKUP(B177,'Product Hierarchy'!A:A,'Product Hierarchy'!C:C)</f>
        <v>LEVEL5</v>
      </c>
      <c r="E177" s="75" t="str">
        <f>_xlfn.XLOOKUP(B177,'Product Hierarchy'!A:A,'Product Hierarchy'!E:E)</f>
        <v>Drywall Hand Tools</v>
      </c>
      <c r="F177" s="75" t="str">
        <f>_xlfn.XLOOKUP(B177,'Product Hierarchy'!A:A,'Product Hierarchy'!F:F)</f>
        <v>Joint Knives</v>
      </c>
      <c r="G177" s="76">
        <v>16.489999999999998</v>
      </c>
      <c r="H177" s="76">
        <v>14.84</v>
      </c>
      <c r="I177" s="6">
        <v>10.39</v>
      </c>
      <c r="J177" s="5" t="s">
        <v>26</v>
      </c>
      <c r="K177" s="5">
        <v>4</v>
      </c>
      <c r="L177" s="5">
        <v>48</v>
      </c>
      <c r="M177" s="43"/>
      <c r="N177" s="24">
        <f t="shared" si="2"/>
        <v>0</v>
      </c>
      <c r="O177" s="97"/>
    </row>
    <row r="178" spans="1:15" x14ac:dyDescent="0.25">
      <c r="A178" s="104">
        <v>449735</v>
      </c>
      <c r="B178" s="4" t="s">
        <v>76</v>
      </c>
      <c r="C178" s="4" t="s">
        <v>694</v>
      </c>
      <c r="D178" s="75" t="str">
        <f>_xlfn.XLOOKUP(B178,'Product Hierarchy'!A:A,'Product Hierarchy'!C:C)</f>
        <v>LEVEL5</v>
      </c>
      <c r="E178" s="75" t="str">
        <f>_xlfn.XLOOKUP(B178,'Product Hierarchy'!A:A,'Product Hierarchy'!E:E)</f>
        <v>Drywall Hand Tools</v>
      </c>
      <c r="F178" s="75" t="str">
        <f>_xlfn.XLOOKUP(B178,'Product Hierarchy'!A:A,'Product Hierarchy'!F:F)</f>
        <v>Joint Knives</v>
      </c>
      <c r="G178" s="76">
        <v>17.489999999999998</v>
      </c>
      <c r="H178" s="76">
        <v>15.74</v>
      </c>
      <c r="I178" s="6">
        <v>11.02</v>
      </c>
      <c r="J178" s="5" t="s">
        <v>26</v>
      </c>
      <c r="K178" s="5">
        <v>4</v>
      </c>
      <c r="L178" s="5">
        <v>48</v>
      </c>
      <c r="M178" s="43"/>
      <c r="N178" s="24">
        <f t="shared" si="2"/>
        <v>0</v>
      </c>
      <c r="O178" s="97"/>
    </row>
    <row r="179" spans="1:15" x14ac:dyDescent="0.25">
      <c r="A179" s="104">
        <v>449736</v>
      </c>
      <c r="B179" s="4" t="s">
        <v>77</v>
      </c>
      <c r="C179" s="4" t="s">
        <v>695</v>
      </c>
      <c r="D179" s="75" t="str">
        <f>_xlfn.XLOOKUP(B179,'Product Hierarchy'!A:A,'Product Hierarchy'!C:C)</f>
        <v>LEVEL5</v>
      </c>
      <c r="E179" s="75" t="str">
        <f>_xlfn.XLOOKUP(B179,'Product Hierarchy'!A:A,'Product Hierarchy'!E:E)</f>
        <v>Drywall Hand Tools</v>
      </c>
      <c r="F179" s="75" t="str">
        <f>_xlfn.XLOOKUP(B179,'Product Hierarchy'!A:A,'Product Hierarchy'!F:F)</f>
        <v>Joint Knives</v>
      </c>
      <c r="G179" s="76">
        <v>18.489999999999998</v>
      </c>
      <c r="H179" s="76">
        <v>16.64</v>
      </c>
      <c r="I179" s="6">
        <v>11.65</v>
      </c>
      <c r="J179" s="5" t="s">
        <v>26</v>
      </c>
      <c r="K179" s="5">
        <v>4</v>
      </c>
      <c r="L179" s="5">
        <v>48</v>
      </c>
      <c r="M179" s="43"/>
      <c r="N179" s="24">
        <f t="shared" si="2"/>
        <v>0</v>
      </c>
      <c r="O179" s="97"/>
    </row>
    <row r="180" spans="1:15" x14ac:dyDescent="0.25">
      <c r="A180" s="104">
        <v>449743</v>
      </c>
      <c r="B180" s="4" t="s">
        <v>78</v>
      </c>
      <c r="C180" s="4" t="s">
        <v>696</v>
      </c>
      <c r="D180" s="75" t="str">
        <f>_xlfn.XLOOKUP(B180,'Product Hierarchy'!A:A,'Product Hierarchy'!C:C)</f>
        <v>LEVEL5</v>
      </c>
      <c r="E180" s="75" t="str">
        <f>_xlfn.XLOOKUP(B180,'Product Hierarchy'!A:A,'Product Hierarchy'!E:E)</f>
        <v>Drywall Hand Tools</v>
      </c>
      <c r="F180" s="75" t="str">
        <f>_xlfn.XLOOKUP(B180,'Product Hierarchy'!A:A,'Product Hierarchy'!F:F)</f>
        <v>Taping Knives</v>
      </c>
      <c r="G180" s="76">
        <v>16.989999999999998</v>
      </c>
      <c r="H180" s="76">
        <v>15.29</v>
      </c>
      <c r="I180" s="6">
        <v>10.7</v>
      </c>
      <c r="J180" s="5" t="s">
        <v>26</v>
      </c>
      <c r="K180" s="5">
        <v>6</v>
      </c>
      <c r="L180" s="5">
        <v>24</v>
      </c>
      <c r="M180" s="43"/>
      <c r="N180" s="24">
        <f t="shared" si="2"/>
        <v>0</v>
      </c>
      <c r="O180" s="97"/>
    </row>
    <row r="181" spans="1:15" x14ac:dyDescent="0.25">
      <c r="A181" s="104">
        <v>449744</v>
      </c>
      <c r="B181" s="4" t="s">
        <v>79</v>
      </c>
      <c r="C181" s="4" t="s">
        <v>697</v>
      </c>
      <c r="D181" s="75" t="str">
        <f>_xlfn.XLOOKUP(B181,'Product Hierarchy'!A:A,'Product Hierarchy'!C:C)</f>
        <v>LEVEL5</v>
      </c>
      <c r="E181" s="75" t="str">
        <f>_xlfn.XLOOKUP(B181,'Product Hierarchy'!A:A,'Product Hierarchy'!E:E)</f>
        <v>Drywall Hand Tools</v>
      </c>
      <c r="F181" s="75" t="str">
        <f>_xlfn.XLOOKUP(B181,'Product Hierarchy'!A:A,'Product Hierarchy'!F:F)</f>
        <v>Taping Knives</v>
      </c>
      <c r="G181" s="76">
        <v>17.989999999999998</v>
      </c>
      <c r="H181" s="76">
        <v>16.190000000000001</v>
      </c>
      <c r="I181" s="6">
        <v>11.33</v>
      </c>
      <c r="J181" s="5" t="s">
        <v>26</v>
      </c>
      <c r="K181" s="5">
        <v>6</v>
      </c>
      <c r="L181" s="5">
        <v>24</v>
      </c>
      <c r="M181" s="43"/>
      <c r="N181" s="24">
        <f t="shared" si="2"/>
        <v>0</v>
      </c>
      <c r="O181" s="97"/>
    </row>
    <row r="182" spans="1:15" x14ac:dyDescent="0.25">
      <c r="A182" s="104">
        <v>449745</v>
      </c>
      <c r="B182" s="4" t="s">
        <v>80</v>
      </c>
      <c r="C182" s="4" t="s">
        <v>698</v>
      </c>
      <c r="D182" s="75" t="str">
        <f>_xlfn.XLOOKUP(B182,'Product Hierarchy'!A:A,'Product Hierarchy'!C:C)</f>
        <v>LEVEL5</v>
      </c>
      <c r="E182" s="75" t="str">
        <f>_xlfn.XLOOKUP(B182,'Product Hierarchy'!A:A,'Product Hierarchy'!E:E)</f>
        <v>Drywall Hand Tools</v>
      </c>
      <c r="F182" s="75" t="str">
        <f>_xlfn.XLOOKUP(B182,'Product Hierarchy'!A:A,'Product Hierarchy'!F:F)</f>
        <v>Taping Knives</v>
      </c>
      <c r="G182" s="76">
        <v>18.989999999999998</v>
      </c>
      <c r="H182" s="76">
        <v>17.09</v>
      </c>
      <c r="I182" s="6">
        <v>11.96</v>
      </c>
      <c r="J182" s="5" t="s">
        <v>26</v>
      </c>
      <c r="K182" s="5">
        <v>6</v>
      </c>
      <c r="L182" s="5">
        <v>24</v>
      </c>
      <c r="M182" s="43"/>
      <c r="N182" s="24">
        <f t="shared" si="2"/>
        <v>0</v>
      </c>
      <c r="O182" s="97"/>
    </row>
    <row r="183" spans="1:15" x14ac:dyDescent="0.25">
      <c r="A183" s="104">
        <v>449746</v>
      </c>
      <c r="B183" s="4" t="s">
        <v>81</v>
      </c>
      <c r="C183" s="4" t="s">
        <v>699</v>
      </c>
      <c r="D183" s="75" t="str">
        <f>_xlfn.XLOOKUP(B183,'Product Hierarchy'!A:A,'Product Hierarchy'!C:C)</f>
        <v>LEVEL5</v>
      </c>
      <c r="E183" s="75" t="str">
        <f>_xlfn.XLOOKUP(B183,'Product Hierarchy'!A:A,'Product Hierarchy'!E:E)</f>
        <v>Drywall Hand Tools</v>
      </c>
      <c r="F183" s="75" t="str">
        <f>_xlfn.XLOOKUP(B183,'Product Hierarchy'!A:A,'Product Hierarchy'!F:F)</f>
        <v>Taping Knives</v>
      </c>
      <c r="G183" s="76">
        <v>19.989999999999998</v>
      </c>
      <c r="H183" s="76">
        <v>17.989999999999998</v>
      </c>
      <c r="I183" s="6">
        <v>12.59</v>
      </c>
      <c r="J183" s="5" t="s">
        <v>26</v>
      </c>
      <c r="K183" s="5">
        <v>6</v>
      </c>
      <c r="L183" s="5">
        <v>24</v>
      </c>
      <c r="M183" s="43"/>
      <c r="N183" s="24">
        <f t="shared" si="2"/>
        <v>0</v>
      </c>
      <c r="O183" s="97"/>
    </row>
    <row r="184" spans="1:15" x14ac:dyDescent="0.25">
      <c r="A184" s="104">
        <v>449747</v>
      </c>
      <c r="B184" s="4" t="s">
        <v>82</v>
      </c>
      <c r="C184" s="4" t="s">
        <v>700</v>
      </c>
      <c r="D184" s="75" t="str">
        <f>_xlfn.XLOOKUP(B184,'Product Hierarchy'!A:A,'Product Hierarchy'!C:C)</f>
        <v>LEVEL5</v>
      </c>
      <c r="E184" s="75" t="str">
        <f>_xlfn.XLOOKUP(B184,'Product Hierarchy'!A:A,'Product Hierarchy'!E:E)</f>
        <v>Drywall Hand Tools</v>
      </c>
      <c r="F184" s="75" t="str">
        <f>_xlfn.XLOOKUP(B184,'Product Hierarchy'!A:A,'Product Hierarchy'!F:F)</f>
        <v>Taping Knives</v>
      </c>
      <c r="G184" s="76">
        <v>21.49</v>
      </c>
      <c r="H184" s="76">
        <v>19.34</v>
      </c>
      <c r="I184" s="6">
        <v>13.54</v>
      </c>
      <c r="J184" s="5" t="s">
        <v>26</v>
      </c>
      <c r="K184" s="5">
        <v>6</v>
      </c>
      <c r="L184" s="5">
        <v>24</v>
      </c>
      <c r="M184" s="43"/>
      <c r="N184" s="24">
        <f t="shared" si="2"/>
        <v>0</v>
      </c>
      <c r="O184" s="97"/>
    </row>
    <row r="185" spans="1:15" x14ac:dyDescent="0.25">
      <c r="A185" s="104">
        <v>449748</v>
      </c>
      <c r="B185" s="4" t="s">
        <v>83</v>
      </c>
      <c r="C185" s="4" t="s">
        <v>701</v>
      </c>
      <c r="D185" s="75" t="str">
        <f>_xlfn.XLOOKUP(B185,'Product Hierarchy'!A:A,'Product Hierarchy'!C:C)</f>
        <v>LEVEL5</v>
      </c>
      <c r="E185" s="75" t="str">
        <f>_xlfn.XLOOKUP(B185,'Product Hierarchy'!A:A,'Product Hierarchy'!E:E)</f>
        <v>Drywall Hand Tools</v>
      </c>
      <c r="F185" s="75" t="str">
        <f>_xlfn.XLOOKUP(B185,'Product Hierarchy'!A:A,'Product Hierarchy'!F:F)</f>
        <v>Taping Knives</v>
      </c>
      <c r="G185" s="76">
        <v>19.989999999999998</v>
      </c>
      <c r="H185" s="76">
        <v>17.989999999999998</v>
      </c>
      <c r="I185" s="6">
        <v>12.59</v>
      </c>
      <c r="J185" s="5" t="s">
        <v>26</v>
      </c>
      <c r="K185" s="5">
        <v>6</v>
      </c>
      <c r="L185" s="5">
        <v>24</v>
      </c>
      <c r="M185" s="43"/>
      <c r="N185" s="24">
        <f t="shared" si="2"/>
        <v>0</v>
      </c>
      <c r="O185" s="97"/>
    </row>
    <row r="186" spans="1:15" x14ac:dyDescent="0.25">
      <c r="A186" s="104">
        <v>449749</v>
      </c>
      <c r="B186" s="4" t="s">
        <v>84</v>
      </c>
      <c r="C186" s="4" t="s">
        <v>702</v>
      </c>
      <c r="D186" s="75" t="str">
        <f>_xlfn.XLOOKUP(B186,'Product Hierarchy'!A:A,'Product Hierarchy'!C:C)</f>
        <v>LEVEL5</v>
      </c>
      <c r="E186" s="75" t="str">
        <f>_xlfn.XLOOKUP(B186,'Product Hierarchy'!A:A,'Product Hierarchy'!E:E)</f>
        <v>Drywall Hand Tools</v>
      </c>
      <c r="F186" s="75" t="str">
        <f>_xlfn.XLOOKUP(B186,'Product Hierarchy'!A:A,'Product Hierarchy'!F:F)</f>
        <v>Taping Knives</v>
      </c>
      <c r="G186" s="76">
        <v>21.49</v>
      </c>
      <c r="H186" s="76">
        <v>19.34</v>
      </c>
      <c r="I186" s="6">
        <v>13.54</v>
      </c>
      <c r="J186" s="5" t="s">
        <v>26</v>
      </c>
      <c r="K186" s="5">
        <v>6</v>
      </c>
      <c r="L186" s="5">
        <v>24</v>
      </c>
      <c r="M186" s="43"/>
      <c r="N186" s="24">
        <f t="shared" si="2"/>
        <v>0</v>
      </c>
      <c r="O186" s="97"/>
    </row>
    <row r="187" spans="1:15" x14ac:dyDescent="0.25">
      <c r="A187" s="104">
        <v>449750</v>
      </c>
      <c r="B187" s="4" t="s">
        <v>85</v>
      </c>
      <c r="C187" s="4" t="s">
        <v>703</v>
      </c>
      <c r="D187" s="75" t="str">
        <f>_xlfn.XLOOKUP(B187,'Product Hierarchy'!A:A,'Product Hierarchy'!C:C)</f>
        <v>LEVEL5</v>
      </c>
      <c r="E187" s="75" t="str">
        <f>_xlfn.XLOOKUP(B187,'Product Hierarchy'!A:A,'Product Hierarchy'!E:E)</f>
        <v>Drywall Hand Tools</v>
      </c>
      <c r="F187" s="75" t="str">
        <f>_xlfn.XLOOKUP(B187,'Product Hierarchy'!A:A,'Product Hierarchy'!F:F)</f>
        <v>Taping Knives</v>
      </c>
      <c r="G187" s="76">
        <v>22.49</v>
      </c>
      <c r="H187" s="76">
        <v>20.239999999999998</v>
      </c>
      <c r="I187" s="6">
        <v>14.17</v>
      </c>
      <c r="J187" s="5" t="s">
        <v>26</v>
      </c>
      <c r="K187" s="5">
        <v>6</v>
      </c>
      <c r="L187" s="5">
        <v>24</v>
      </c>
      <c r="M187" s="43"/>
      <c r="N187" s="24">
        <f t="shared" si="2"/>
        <v>0</v>
      </c>
      <c r="O187" s="97"/>
    </row>
    <row r="188" spans="1:15" x14ac:dyDescent="0.25">
      <c r="A188" s="104">
        <v>449751</v>
      </c>
      <c r="B188" s="4" t="s">
        <v>86</v>
      </c>
      <c r="C188" s="4" t="s">
        <v>704</v>
      </c>
      <c r="D188" s="75" t="str">
        <f>_xlfn.XLOOKUP(B188,'Product Hierarchy'!A:A,'Product Hierarchy'!C:C)</f>
        <v>LEVEL5</v>
      </c>
      <c r="E188" s="75" t="str">
        <f>_xlfn.XLOOKUP(B188,'Product Hierarchy'!A:A,'Product Hierarchy'!E:E)</f>
        <v>Drywall Hand Tools</v>
      </c>
      <c r="F188" s="75" t="str">
        <f>_xlfn.XLOOKUP(B188,'Product Hierarchy'!A:A,'Product Hierarchy'!F:F)</f>
        <v>Taping Knives</v>
      </c>
      <c r="G188" s="76">
        <v>23.49</v>
      </c>
      <c r="H188" s="76">
        <v>21.14</v>
      </c>
      <c r="I188" s="6">
        <v>14.8</v>
      </c>
      <c r="J188" s="5" t="s">
        <v>26</v>
      </c>
      <c r="K188" s="5">
        <v>6</v>
      </c>
      <c r="L188" s="5">
        <v>24</v>
      </c>
      <c r="M188" s="43"/>
      <c r="N188" s="24">
        <f t="shared" si="2"/>
        <v>0</v>
      </c>
      <c r="O188" s="97"/>
    </row>
    <row r="189" spans="1:15" x14ac:dyDescent="0.25">
      <c r="A189" s="104">
        <v>449752</v>
      </c>
      <c r="B189" s="4" t="s">
        <v>87</v>
      </c>
      <c r="C189" s="4" t="s">
        <v>705</v>
      </c>
      <c r="D189" s="75" t="str">
        <f>_xlfn.XLOOKUP(B189,'Product Hierarchy'!A:A,'Product Hierarchy'!C:C)</f>
        <v>LEVEL5</v>
      </c>
      <c r="E189" s="75" t="str">
        <f>_xlfn.XLOOKUP(B189,'Product Hierarchy'!A:A,'Product Hierarchy'!E:E)</f>
        <v>Drywall Hand Tools</v>
      </c>
      <c r="F189" s="75" t="str">
        <f>_xlfn.XLOOKUP(B189,'Product Hierarchy'!A:A,'Product Hierarchy'!F:F)</f>
        <v>Taping Knives</v>
      </c>
      <c r="G189" s="76">
        <v>24.49</v>
      </c>
      <c r="H189" s="76">
        <v>22.04</v>
      </c>
      <c r="I189" s="6">
        <v>15.43</v>
      </c>
      <c r="J189" s="5" t="s">
        <v>26</v>
      </c>
      <c r="K189" s="5">
        <v>6</v>
      </c>
      <c r="L189" s="5">
        <v>24</v>
      </c>
      <c r="M189" s="43"/>
      <c r="N189" s="24">
        <f t="shared" si="2"/>
        <v>0</v>
      </c>
      <c r="O189" s="97"/>
    </row>
    <row r="190" spans="1:15" x14ac:dyDescent="0.25">
      <c r="A190" s="104">
        <v>449753</v>
      </c>
      <c r="B190" s="4" t="s">
        <v>88</v>
      </c>
      <c r="C190" s="4" t="s">
        <v>706</v>
      </c>
      <c r="D190" s="75" t="str">
        <f>_xlfn.XLOOKUP(B190,'Product Hierarchy'!A:A,'Product Hierarchy'!C:C)</f>
        <v>LEVEL5</v>
      </c>
      <c r="E190" s="75" t="str">
        <f>_xlfn.XLOOKUP(B190,'Product Hierarchy'!A:A,'Product Hierarchy'!E:E)</f>
        <v>Drywall Hand Tools</v>
      </c>
      <c r="F190" s="75" t="str">
        <f>_xlfn.XLOOKUP(B190,'Product Hierarchy'!A:A,'Product Hierarchy'!F:F)</f>
        <v>Specialty Knives</v>
      </c>
      <c r="G190" s="76">
        <v>14.49</v>
      </c>
      <c r="H190" s="76">
        <v>13.04</v>
      </c>
      <c r="I190" s="6">
        <v>9.1300000000000008</v>
      </c>
      <c r="J190" s="5" t="s">
        <v>26</v>
      </c>
      <c r="K190" s="5">
        <v>4</v>
      </c>
      <c r="L190" s="5">
        <v>48</v>
      </c>
      <c r="M190" s="43"/>
      <c r="N190" s="24">
        <f t="shared" si="2"/>
        <v>0</v>
      </c>
      <c r="O190" s="97"/>
    </row>
    <row r="191" spans="1:15" x14ac:dyDescent="0.25">
      <c r="A191" s="104">
        <v>449754</v>
      </c>
      <c r="B191" s="4" t="s">
        <v>89</v>
      </c>
      <c r="C191" s="4" t="s">
        <v>707</v>
      </c>
      <c r="D191" s="75" t="str">
        <f>_xlfn.XLOOKUP(B191,'Product Hierarchy'!A:A,'Product Hierarchy'!C:C)</f>
        <v>LEVEL5</v>
      </c>
      <c r="E191" s="75" t="str">
        <f>_xlfn.XLOOKUP(B191,'Product Hierarchy'!A:A,'Product Hierarchy'!E:E)</f>
        <v>Drywall Hand Tools</v>
      </c>
      <c r="F191" s="75" t="str">
        <f>_xlfn.XLOOKUP(B191,'Product Hierarchy'!A:A,'Product Hierarchy'!F:F)</f>
        <v>Specialty Knives</v>
      </c>
      <c r="G191" s="76">
        <v>14.49</v>
      </c>
      <c r="H191" s="76">
        <v>13.04</v>
      </c>
      <c r="I191" s="6">
        <v>9.1300000000000008</v>
      </c>
      <c r="J191" s="5" t="s">
        <v>26</v>
      </c>
      <c r="K191" s="5">
        <v>4</v>
      </c>
      <c r="L191" s="5">
        <v>48</v>
      </c>
      <c r="M191" s="43"/>
      <c r="N191" s="24">
        <f t="shared" si="2"/>
        <v>0</v>
      </c>
      <c r="O191" s="97"/>
    </row>
    <row r="192" spans="1:15" x14ac:dyDescent="0.25">
      <c r="A192" s="104">
        <v>449755</v>
      </c>
      <c r="B192" s="4" t="s">
        <v>90</v>
      </c>
      <c r="C192" s="4" t="s">
        <v>708</v>
      </c>
      <c r="D192" s="75" t="str">
        <f>_xlfn.XLOOKUP(B192,'Product Hierarchy'!A:A,'Product Hierarchy'!C:C)</f>
        <v>LEVEL5</v>
      </c>
      <c r="E192" s="75" t="str">
        <f>_xlfn.XLOOKUP(B192,'Product Hierarchy'!A:A,'Product Hierarchy'!E:E)</f>
        <v>Drywall Hand Tools</v>
      </c>
      <c r="F192" s="75" t="str">
        <f>_xlfn.XLOOKUP(B192,'Product Hierarchy'!A:A,'Product Hierarchy'!F:F)</f>
        <v>Specialty Knives</v>
      </c>
      <c r="G192" s="76">
        <v>14.49</v>
      </c>
      <c r="H192" s="76">
        <v>13.04</v>
      </c>
      <c r="I192" s="6">
        <v>9.1300000000000008</v>
      </c>
      <c r="J192" s="5" t="s">
        <v>26</v>
      </c>
      <c r="K192" s="5">
        <v>4</v>
      </c>
      <c r="L192" s="5">
        <v>48</v>
      </c>
      <c r="M192" s="43"/>
      <c r="N192" s="24">
        <f t="shared" si="2"/>
        <v>0</v>
      </c>
      <c r="O192" s="97"/>
    </row>
    <row r="193" spans="1:15" x14ac:dyDescent="0.25">
      <c r="A193" s="104">
        <v>449756</v>
      </c>
      <c r="B193" s="4" t="s">
        <v>1588</v>
      </c>
      <c r="C193" s="4" t="s">
        <v>1589</v>
      </c>
      <c r="D193" s="75" t="str">
        <f>_xlfn.XLOOKUP(B193,'Product Hierarchy'!A:A,'Product Hierarchy'!C:C)</f>
        <v>LEVEL5</v>
      </c>
      <c r="E193" s="75" t="str">
        <f>_xlfn.XLOOKUP(B193,'Product Hierarchy'!A:A,'Product Hierarchy'!E:E)</f>
        <v>Drywall Hand Tools</v>
      </c>
      <c r="F193" s="75" t="str">
        <f>_xlfn.XLOOKUP(B193,'Product Hierarchy'!A:A,'Product Hierarchy'!F:F)</f>
        <v>Trim Puller</v>
      </c>
      <c r="G193" s="76">
        <v>21.99</v>
      </c>
      <c r="H193" s="76">
        <v>19.79</v>
      </c>
      <c r="I193" s="6">
        <v>13.85</v>
      </c>
      <c r="J193" s="5" t="s">
        <v>26</v>
      </c>
      <c r="K193" s="5">
        <v>4</v>
      </c>
      <c r="L193" s="5">
        <v>40</v>
      </c>
      <c r="M193" s="45"/>
      <c r="N193" s="24">
        <f t="shared" si="2"/>
        <v>0</v>
      </c>
      <c r="O193" s="97"/>
    </row>
    <row r="194" spans="1:15" x14ac:dyDescent="0.25">
      <c r="A194" s="104">
        <v>449757</v>
      </c>
      <c r="B194" s="4" t="s">
        <v>91</v>
      </c>
      <c r="C194" s="4" t="s">
        <v>709</v>
      </c>
      <c r="D194" s="75" t="str">
        <f>_xlfn.XLOOKUP(B194,'Product Hierarchy'!A:A,'Product Hierarchy'!C:C)</f>
        <v>LEVEL5</v>
      </c>
      <c r="E194" s="75" t="str">
        <f>_xlfn.XLOOKUP(B194,'Product Hierarchy'!A:A,'Product Hierarchy'!E:E)</f>
        <v>Drywall Hand Tools</v>
      </c>
      <c r="F194" s="75" t="str">
        <f>_xlfn.XLOOKUP(B194,'Product Hierarchy'!A:A,'Product Hierarchy'!F:F)</f>
        <v>Bucket Scoops</v>
      </c>
      <c r="G194" s="76">
        <v>12.99</v>
      </c>
      <c r="H194" s="76">
        <v>11.69</v>
      </c>
      <c r="I194" s="6">
        <v>8.18</v>
      </c>
      <c r="J194" s="5" t="s">
        <v>26</v>
      </c>
      <c r="K194" s="5">
        <v>4</v>
      </c>
      <c r="L194" s="5">
        <v>24</v>
      </c>
      <c r="M194" s="43"/>
      <c r="N194" s="24">
        <f t="shared" si="2"/>
        <v>0</v>
      </c>
      <c r="O194" s="97"/>
    </row>
    <row r="195" spans="1:15" x14ac:dyDescent="0.25">
      <c r="A195" s="104">
        <v>449758</v>
      </c>
      <c r="B195" s="4" t="s">
        <v>577</v>
      </c>
      <c r="C195" s="4" t="s">
        <v>578</v>
      </c>
      <c r="D195" s="75" t="str">
        <f>_xlfn.XLOOKUP(B195,'Product Hierarchy'!A:A,'Product Hierarchy'!C:C)</f>
        <v>LEVEL5</v>
      </c>
      <c r="E195" s="75" t="str">
        <f>_xlfn.XLOOKUP(B195,'Product Hierarchy'!A:A,'Product Hierarchy'!E:E)</f>
        <v>Drywall Hand Tools</v>
      </c>
      <c r="F195" s="75" t="str">
        <f>_xlfn.XLOOKUP(B195,'Product Hierarchy'!A:A,'Product Hierarchy'!F:F)</f>
        <v>Mixers</v>
      </c>
      <c r="G195" s="76">
        <v>32.49</v>
      </c>
      <c r="H195" s="76">
        <v>29.24</v>
      </c>
      <c r="I195" s="6">
        <v>20.47</v>
      </c>
      <c r="J195" s="5" t="s">
        <v>26</v>
      </c>
      <c r="K195" s="5">
        <v>4</v>
      </c>
      <c r="L195" s="5">
        <v>4</v>
      </c>
      <c r="M195" s="43"/>
      <c r="N195" s="24">
        <f t="shared" si="2"/>
        <v>0</v>
      </c>
      <c r="O195" s="97"/>
    </row>
    <row r="196" spans="1:15" x14ac:dyDescent="0.25">
      <c r="A196" s="104">
        <v>449759</v>
      </c>
      <c r="B196" s="4" t="s">
        <v>92</v>
      </c>
      <c r="C196" s="4" t="s">
        <v>710</v>
      </c>
      <c r="D196" s="75" t="str">
        <f>_xlfn.XLOOKUP(B196,'Product Hierarchy'!A:A,'Product Hierarchy'!C:C)</f>
        <v>LEVEL5</v>
      </c>
      <c r="E196" s="75" t="str">
        <f>_xlfn.XLOOKUP(B196,'Product Hierarchy'!A:A,'Product Hierarchy'!E:E)</f>
        <v>Drywall Hand Tools</v>
      </c>
      <c r="F196" s="75" t="str">
        <f>_xlfn.XLOOKUP(B196,'Product Hierarchy'!A:A,'Product Hierarchy'!F:F)</f>
        <v>Mixers</v>
      </c>
      <c r="G196" s="76">
        <v>40.99</v>
      </c>
      <c r="H196" s="76">
        <v>36.89</v>
      </c>
      <c r="I196" s="6">
        <v>25.82</v>
      </c>
      <c r="J196" s="5" t="s">
        <v>26</v>
      </c>
      <c r="K196" s="5">
        <v>2</v>
      </c>
      <c r="L196" s="5">
        <v>2</v>
      </c>
      <c r="M196" s="43"/>
      <c r="N196" s="24">
        <f t="shared" si="2"/>
        <v>0</v>
      </c>
      <c r="O196" s="97"/>
    </row>
    <row r="197" spans="1:15" x14ac:dyDescent="0.25">
      <c r="A197" s="104">
        <v>449761</v>
      </c>
      <c r="B197" s="4" t="s">
        <v>93</v>
      </c>
      <c r="C197" s="4" t="s">
        <v>711</v>
      </c>
      <c r="D197" s="75" t="str">
        <f>_xlfn.XLOOKUP(B197,'Product Hierarchy'!A:A,'Product Hierarchy'!C:C)</f>
        <v>LEVEL5</v>
      </c>
      <c r="E197" s="75" t="str">
        <f>_xlfn.XLOOKUP(B197,'Product Hierarchy'!A:A,'Product Hierarchy'!E:E)</f>
        <v>Drywall Hand Tools</v>
      </c>
      <c r="F197" s="75" t="str">
        <f>_xlfn.XLOOKUP(B197,'Product Hierarchy'!A:A,'Product Hierarchy'!F:F)</f>
        <v>Mixers</v>
      </c>
      <c r="G197" s="76">
        <v>15.99</v>
      </c>
      <c r="H197" s="76">
        <v>14.39</v>
      </c>
      <c r="I197" s="6">
        <v>10.07</v>
      </c>
      <c r="J197" s="5" t="s">
        <v>26</v>
      </c>
      <c r="K197" s="5">
        <v>16</v>
      </c>
      <c r="L197" s="5">
        <v>16</v>
      </c>
      <c r="M197" s="43"/>
      <c r="N197" s="24">
        <f t="shared" si="2"/>
        <v>0</v>
      </c>
      <c r="O197" s="97"/>
    </row>
    <row r="198" spans="1:15" x14ac:dyDescent="0.25">
      <c r="A198" s="104">
        <v>449762</v>
      </c>
      <c r="B198" s="4" t="s">
        <v>94</v>
      </c>
      <c r="C198" s="4" t="s">
        <v>712</v>
      </c>
      <c r="D198" s="75" t="str">
        <f>_xlfn.XLOOKUP(B198,'Product Hierarchy'!A:A,'Product Hierarchy'!C:C)</f>
        <v>LEVEL5</v>
      </c>
      <c r="E198" s="75" t="str">
        <f>_xlfn.XLOOKUP(B198,'Product Hierarchy'!A:A,'Product Hierarchy'!E:E)</f>
        <v>Drywall Hand Tools</v>
      </c>
      <c r="F198" s="75" t="str">
        <f>_xlfn.XLOOKUP(B198,'Product Hierarchy'!A:A,'Product Hierarchy'!F:F)</f>
        <v>Mixers</v>
      </c>
      <c r="G198" s="76">
        <v>26.99</v>
      </c>
      <c r="H198" s="76">
        <v>24.29</v>
      </c>
      <c r="I198" s="6">
        <v>17</v>
      </c>
      <c r="J198" s="5" t="s">
        <v>26</v>
      </c>
      <c r="K198" s="5">
        <v>8</v>
      </c>
      <c r="L198" s="5">
        <v>8</v>
      </c>
      <c r="M198" s="43"/>
      <c r="N198" s="24">
        <f t="shared" si="2"/>
        <v>0</v>
      </c>
      <c r="O198" s="97"/>
    </row>
    <row r="199" spans="1:15" x14ac:dyDescent="0.25">
      <c r="A199" s="104">
        <v>449763</v>
      </c>
      <c r="B199" s="4" t="s">
        <v>95</v>
      </c>
      <c r="C199" s="4" t="s">
        <v>713</v>
      </c>
      <c r="D199" s="75" t="str">
        <f>_xlfn.XLOOKUP(B199,'Product Hierarchy'!A:A,'Product Hierarchy'!C:C)</f>
        <v>LEVEL5</v>
      </c>
      <c r="E199" s="75" t="str">
        <f>_xlfn.XLOOKUP(B199,'Product Hierarchy'!A:A,'Product Hierarchy'!E:E)</f>
        <v>Drywall Hand Tools</v>
      </c>
      <c r="F199" s="75" t="str">
        <f>_xlfn.XLOOKUP(B199,'Product Hierarchy'!A:A,'Product Hierarchy'!F:F)</f>
        <v>Mixers</v>
      </c>
      <c r="G199" s="76">
        <v>11.99</v>
      </c>
      <c r="H199" s="76">
        <v>10.79</v>
      </c>
      <c r="I199" s="6">
        <v>7.55</v>
      </c>
      <c r="J199" s="5" t="s">
        <v>26</v>
      </c>
      <c r="K199" s="5">
        <v>1</v>
      </c>
      <c r="L199" s="5">
        <v>40</v>
      </c>
      <c r="M199" s="43"/>
      <c r="N199" s="24">
        <f t="shared" si="2"/>
        <v>0</v>
      </c>
      <c r="O199" s="97"/>
    </row>
    <row r="200" spans="1:15" x14ac:dyDescent="0.25">
      <c r="A200" s="104">
        <v>449764</v>
      </c>
      <c r="B200" s="4" t="s">
        <v>1474</v>
      </c>
      <c r="C200" s="4" t="s">
        <v>1475</v>
      </c>
      <c r="D200" s="75" t="str">
        <f>_xlfn.XLOOKUP(B200,'Product Hierarchy'!A:A,'Product Hierarchy'!C:C)</f>
        <v>LEVEL5</v>
      </c>
      <c r="E200" s="75" t="str">
        <f>_xlfn.XLOOKUP(B200,'Product Hierarchy'!A:A,'Product Hierarchy'!E:E)</f>
        <v>Drywall Hand Tools</v>
      </c>
      <c r="F200" s="75" t="str">
        <f>_xlfn.XLOOKUP(B200,'Product Hierarchy'!A:A,'Product Hierarchy'!F:F)</f>
        <v>Mixers</v>
      </c>
      <c r="G200" s="76">
        <v>21.99</v>
      </c>
      <c r="H200" s="76">
        <v>19.79</v>
      </c>
      <c r="I200" s="6">
        <v>13.85</v>
      </c>
      <c r="J200" s="5" t="s">
        <v>26</v>
      </c>
      <c r="K200" s="5">
        <v>2</v>
      </c>
      <c r="L200" s="5">
        <v>8</v>
      </c>
      <c r="M200" s="45"/>
      <c r="N200" s="24">
        <f t="shared" si="2"/>
        <v>0</v>
      </c>
      <c r="O200" s="97"/>
    </row>
    <row r="201" spans="1:15" x14ac:dyDescent="0.25">
      <c r="A201" s="104">
        <v>449765</v>
      </c>
      <c r="B201" s="4" t="s">
        <v>96</v>
      </c>
      <c r="C201" s="4" t="s">
        <v>714</v>
      </c>
      <c r="D201" s="75" t="str">
        <f>_xlfn.XLOOKUP(B201,'Product Hierarchy'!A:A,'Product Hierarchy'!C:C)</f>
        <v>LEVEL5</v>
      </c>
      <c r="E201" s="75" t="str">
        <f>_xlfn.XLOOKUP(B201,'Product Hierarchy'!A:A,'Product Hierarchy'!E:E)</f>
        <v>Drywall Hand Tools</v>
      </c>
      <c r="F201" s="75" t="str">
        <f>_xlfn.XLOOKUP(B201,'Product Hierarchy'!A:A,'Product Hierarchy'!F:F)</f>
        <v>Inside Corner Trowels</v>
      </c>
      <c r="G201" s="76">
        <v>14.49</v>
      </c>
      <c r="H201" s="76">
        <v>13.04</v>
      </c>
      <c r="I201" s="6">
        <v>9.1300000000000008</v>
      </c>
      <c r="J201" s="5" t="s">
        <v>26</v>
      </c>
      <c r="K201" s="5">
        <v>6</v>
      </c>
      <c r="L201" s="5">
        <v>36</v>
      </c>
      <c r="M201" s="43"/>
      <c r="N201" s="24">
        <f t="shared" si="2"/>
        <v>0</v>
      </c>
      <c r="O201" s="97"/>
    </row>
    <row r="202" spans="1:15" x14ac:dyDescent="0.25">
      <c r="A202" s="104">
        <v>449767</v>
      </c>
      <c r="B202" s="4" t="s">
        <v>1642</v>
      </c>
      <c r="C202" s="4" t="s">
        <v>863</v>
      </c>
      <c r="D202" s="75" t="str">
        <f>_xlfn.XLOOKUP(B202,'Product Hierarchy'!A:A,'Product Hierarchy'!C:C)</f>
        <v>LEVEL5</v>
      </c>
      <c r="E202" s="75" t="str">
        <f>_xlfn.XLOOKUP(B202,'Product Hierarchy'!A:A,'Product Hierarchy'!E:E)</f>
        <v>Drywall Semi Auto Tools</v>
      </c>
      <c r="F202" s="75" t="str">
        <f>_xlfn.XLOOKUP(B202,'Product Hierarchy'!A:A,'Product Hierarchy'!F:F)</f>
        <v>Banjos</v>
      </c>
      <c r="G202" s="76">
        <v>166.99</v>
      </c>
      <c r="H202" s="76">
        <v>150.29</v>
      </c>
      <c r="I202" s="6">
        <v>105.2</v>
      </c>
      <c r="J202" s="5" t="s">
        <v>26</v>
      </c>
      <c r="K202" s="5">
        <v>1</v>
      </c>
      <c r="L202" s="5">
        <v>6</v>
      </c>
      <c r="M202" s="43"/>
      <c r="N202" s="24">
        <f t="shared" si="2"/>
        <v>0</v>
      </c>
      <c r="O202" s="97"/>
    </row>
    <row r="203" spans="1:15" x14ac:dyDescent="0.25">
      <c r="A203" s="104">
        <v>451003</v>
      </c>
      <c r="B203" s="4" t="s">
        <v>4242</v>
      </c>
      <c r="C203" s="4" t="s">
        <v>4391</v>
      </c>
      <c r="D203" s="75" t="s">
        <v>958</v>
      </c>
      <c r="E203" s="75" t="s">
        <v>1640</v>
      </c>
      <c r="F203" s="75" t="s">
        <v>1366</v>
      </c>
      <c r="G203" s="76">
        <v>59.99</v>
      </c>
      <c r="H203" s="76">
        <v>53.99</v>
      </c>
      <c r="I203" s="6">
        <v>37.79</v>
      </c>
      <c r="J203" s="5" t="s">
        <v>26</v>
      </c>
      <c r="K203" s="5">
        <v>1</v>
      </c>
      <c r="L203" s="5">
        <v>8</v>
      </c>
      <c r="M203" s="43"/>
      <c r="N203" s="24">
        <f t="shared" si="2"/>
        <v>0</v>
      </c>
      <c r="O203" s="97"/>
    </row>
    <row r="204" spans="1:15" x14ac:dyDescent="0.25">
      <c r="A204" s="104">
        <v>449769</v>
      </c>
      <c r="B204" s="4" t="s">
        <v>97</v>
      </c>
      <c r="C204" s="4" t="s">
        <v>715</v>
      </c>
      <c r="D204" s="75" t="str">
        <f>_xlfn.XLOOKUP(B204,'Product Hierarchy'!A:A,'Product Hierarchy'!C:C)</f>
        <v>LEVEL5</v>
      </c>
      <c r="E204" s="75" t="str">
        <f>_xlfn.XLOOKUP(B204,'Product Hierarchy'!A:A,'Product Hierarchy'!E:E)</f>
        <v>Drywall Hand Tools</v>
      </c>
      <c r="F204" s="75" t="str">
        <f>_xlfn.XLOOKUP(B204,'Product Hierarchy'!A:A,'Product Hierarchy'!F:F)</f>
        <v>Inside Corner Trowels</v>
      </c>
      <c r="G204" s="76">
        <v>16.489999999999998</v>
      </c>
      <c r="H204" s="76">
        <v>14.84</v>
      </c>
      <c r="I204" s="6">
        <v>10.39</v>
      </c>
      <c r="J204" s="5" t="s">
        <v>26</v>
      </c>
      <c r="K204" s="5">
        <v>6</v>
      </c>
      <c r="L204" s="9">
        <v>36</v>
      </c>
      <c r="M204" s="44"/>
      <c r="N204" s="24">
        <f t="shared" si="2"/>
        <v>0</v>
      </c>
      <c r="O204" s="97"/>
    </row>
    <row r="205" spans="1:15" x14ac:dyDescent="0.25">
      <c r="A205" s="104">
        <v>449770</v>
      </c>
      <c r="B205" s="4" t="s">
        <v>98</v>
      </c>
      <c r="C205" s="4" t="s">
        <v>716</v>
      </c>
      <c r="D205" s="75" t="str">
        <f>_xlfn.XLOOKUP(B205,'Product Hierarchy'!A:A,'Product Hierarchy'!C:C)</f>
        <v>LEVEL5</v>
      </c>
      <c r="E205" s="75" t="str">
        <f>_xlfn.XLOOKUP(B205,'Product Hierarchy'!A:A,'Product Hierarchy'!E:E)</f>
        <v>Drywall Hand Tools</v>
      </c>
      <c r="F205" s="75" t="str">
        <f>_xlfn.XLOOKUP(B205,'Product Hierarchy'!A:A,'Product Hierarchy'!F:F)</f>
        <v>Outside Corner Trowels</v>
      </c>
      <c r="G205" s="76">
        <v>14.49</v>
      </c>
      <c r="H205" s="76">
        <v>13.04</v>
      </c>
      <c r="I205" s="6">
        <v>9.1300000000000008</v>
      </c>
      <c r="J205" s="5" t="s">
        <v>26</v>
      </c>
      <c r="K205" s="5">
        <v>6</v>
      </c>
      <c r="L205" s="9">
        <v>36</v>
      </c>
      <c r="M205" s="44"/>
      <c r="N205" s="24">
        <f t="shared" ref="N205:N269" si="3">M205*I205</f>
        <v>0</v>
      </c>
      <c r="O205" s="97"/>
    </row>
    <row r="206" spans="1:15" x14ac:dyDescent="0.25">
      <c r="A206" s="104">
        <v>449771</v>
      </c>
      <c r="B206" s="4" t="s">
        <v>99</v>
      </c>
      <c r="C206" s="4" t="s">
        <v>717</v>
      </c>
      <c r="D206" s="75" t="str">
        <f>_xlfn.XLOOKUP(B206,'Product Hierarchy'!A:A,'Product Hierarchy'!C:C)</f>
        <v>LEVEL5</v>
      </c>
      <c r="E206" s="75" t="str">
        <f>_xlfn.XLOOKUP(B206,'Product Hierarchy'!A:A,'Product Hierarchy'!E:E)</f>
        <v>Drywall Hand Tools</v>
      </c>
      <c r="F206" s="75" t="str">
        <f>_xlfn.XLOOKUP(B206,'Product Hierarchy'!A:A,'Product Hierarchy'!F:F)</f>
        <v>Hawks</v>
      </c>
      <c r="G206" s="76">
        <v>49.99</v>
      </c>
      <c r="H206" s="76">
        <v>44.99</v>
      </c>
      <c r="I206" s="6">
        <v>31.49</v>
      </c>
      <c r="J206" s="5" t="s">
        <v>26</v>
      </c>
      <c r="K206" s="5">
        <v>4</v>
      </c>
      <c r="L206" s="9">
        <v>4</v>
      </c>
      <c r="M206" s="44"/>
      <c r="N206" s="24">
        <f t="shared" si="3"/>
        <v>0</v>
      </c>
      <c r="O206" s="97"/>
    </row>
    <row r="207" spans="1:15" x14ac:dyDescent="0.25">
      <c r="A207" s="104">
        <v>449773</v>
      </c>
      <c r="B207" s="4" t="s">
        <v>1411</v>
      </c>
      <c r="C207" s="4" t="s">
        <v>1412</v>
      </c>
      <c r="D207" s="75" t="str">
        <f>_xlfn.XLOOKUP(B207,'Product Hierarchy'!A:A,'Product Hierarchy'!C:C)</f>
        <v>LEVEL5</v>
      </c>
      <c r="E207" s="75" t="str">
        <f>_xlfn.XLOOKUP(B207,'Product Hierarchy'!A:A,'Product Hierarchy'!E:E)</f>
        <v>Drywall Hand Tools</v>
      </c>
      <c r="F207" s="75" t="str">
        <f>_xlfn.XLOOKUP(B207,'Product Hierarchy'!A:A,'Product Hierarchy'!F:F)</f>
        <v>Hawks</v>
      </c>
      <c r="G207" s="76">
        <v>60.49</v>
      </c>
      <c r="H207" s="76">
        <v>54.44</v>
      </c>
      <c r="I207" s="6">
        <v>38.11</v>
      </c>
      <c r="J207" s="5" t="s">
        <v>26</v>
      </c>
      <c r="K207" s="5">
        <v>1</v>
      </c>
      <c r="L207" s="9">
        <v>4</v>
      </c>
      <c r="M207" s="60"/>
      <c r="N207" s="24">
        <f t="shared" si="3"/>
        <v>0</v>
      </c>
      <c r="O207" s="97"/>
    </row>
    <row r="208" spans="1:15" x14ac:dyDescent="0.25">
      <c r="A208" s="104">
        <v>449775</v>
      </c>
      <c r="B208" s="4" t="s">
        <v>100</v>
      </c>
      <c r="C208" s="4" t="s">
        <v>718</v>
      </c>
      <c r="D208" s="75" t="str">
        <f>_xlfn.XLOOKUP(B208,'Product Hierarchy'!A:A,'Product Hierarchy'!C:C)</f>
        <v>LEVEL5</v>
      </c>
      <c r="E208" s="75" t="str">
        <f>_xlfn.XLOOKUP(B208,'Product Hierarchy'!A:A,'Product Hierarchy'!E:E)</f>
        <v>Drywall Hand Tools</v>
      </c>
      <c r="F208" s="75" t="str">
        <f>_xlfn.XLOOKUP(B208,'Product Hierarchy'!A:A,'Product Hierarchy'!F:F)</f>
        <v>Mud Pans</v>
      </c>
      <c r="G208" s="76">
        <v>23.99</v>
      </c>
      <c r="H208" s="76">
        <v>21.59</v>
      </c>
      <c r="I208" s="6">
        <v>15.11</v>
      </c>
      <c r="J208" s="5" t="s">
        <v>26</v>
      </c>
      <c r="K208" s="5">
        <v>6</v>
      </c>
      <c r="L208" s="9">
        <v>12</v>
      </c>
      <c r="M208" s="44"/>
      <c r="N208" s="24">
        <f t="shared" si="3"/>
        <v>0</v>
      </c>
      <c r="O208" s="97"/>
    </row>
    <row r="209" spans="1:15" x14ac:dyDescent="0.25">
      <c r="A209" s="104">
        <v>449776</v>
      </c>
      <c r="B209" s="4" t="s">
        <v>101</v>
      </c>
      <c r="C209" s="4" t="s">
        <v>1481</v>
      </c>
      <c r="D209" s="75" t="s">
        <v>958</v>
      </c>
      <c r="E209" s="75" t="s">
        <v>1399</v>
      </c>
      <c r="F209" s="75" t="s">
        <v>1477</v>
      </c>
      <c r="G209" s="76">
        <v>24.99</v>
      </c>
      <c r="H209" s="76">
        <v>22.49</v>
      </c>
      <c r="I209" s="6">
        <v>15.74</v>
      </c>
      <c r="J209" s="5" t="s">
        <v>26</v>
      </c>
      <c r="K209" s="5">
        <v>6</v>
      </c>
      <c r="L209" s="9">
        <v>12</v>
      </c>
      <c r="M209" s="44"/>
      <c r="N209" s="24">
        <f t="shared" ref="N209" si="4">M209*I209</f>
        <v>0</v>
      </c>
      <c r="O209" s="97"/>
    </row>
    <row r="210" spans="1:15" x14ac:dyDescent="0.25">
      <c r="A210" s="104">
        <v>449777</v>
      </c>
      <c r="B210" s="4" t="s">
        <v>102</v>
      </c>
      <c r="C210" s="4" t="s">
        <v>720</v>
      </c>
      <c r="D210" s="75" t="str">
        <f>_xlfn.XLOOKUP(B210,'Product Hierarchy'!A:A,'Product Hierarchy'!C:C)</f>
        <v>LEVEL5</v>
      </c>
      <c r="E210" s="75" t="str">
        <f>_xlfn.XLOOKUP(B210,'Product Hierarchy'!A:A,'Product Hierarchy'!E:E)</f>
        <v>Drywall Hand Tools</v>
      </c>
      <c r="F210" s="75" t="str">
        <f>_xlfn.XLOOKUP(B210,'Product Hierarchy'!A:A,'Product Hierarchy'!F:F)</f>
        <v>Mud Pans</v>
      </c>
      <c r="G210" s="76">
        <v>25.99</v>
      </c>
      <c r="H210" s="76">
        <v>23.39</v>
      </c>
      <c r="I210" s="6">
        <v>16.37</v>
      </c>
      <c r="J210" s="5" t="s">
        <v>26</v>
      </c>
      <c r="K210" s="5">
        <v>6</v>
      </c>
      <c r="L210" s="5">
        <v>12</v>
      </c>
      <c r="M210" s="43"/>
      <c r="N210" s="24">
        <f t="shared" si="3"/>
        <v>0</v>
      </c>
      <c r="O210" s="97"/>
    </row>
    <row r="211" spans="1:15" x14ac:dyDescent="0.25">
      <c r="A211" s="104">
        <v>449779</v>
      </c>
      <c r="B211" s="4" t="s">
        <v>1489</v>
      </c>
      <c r="C211" s="4" t="s">
        <v>1490</v>
      </c>
      <c r="D211" s="75" t="str">
        <f>_xlfn.XLOOKUP(B211,'Product Hierarchy'!A:A,'Product Hierarchy'!C:C)</f>
        <v>LEVEL5</v>
      </c>
      <c r="E211" s="75" t="str">
        <f>_xlfn.XLOOKUP(B211,'Product Hierarchy'!A:A,'Product Hierarchy'!E:E)</f>
        <v>Drywall Hand Tools</v>
      </c>
      <c r="F211" s="75" t="str">
        <f>_xlfn.XLOOKUP(B211,'Product Hierarchy'!A:A,'Product Hierarchy'!F:F)</f>
        <v>Radial Sanders</v>
      </c>
      <c r="G211" s="76">
        <v>43.49</v>
      </c>
      <c r="H211" s="76">
        <v>39.14</v>
      </c>
      <c r="I211" s="6">
        <v>27.4</v>
      </c>
      <c r="J211" s="5" t="s">
        <v>26</v>
      </c>
      <c r="K211" s="5">
        <v>1</v>
      </c>
      <c r="L211" s="5">
        <v>12</v>
      </c>
      <c r="M211" s="45"/>
      <c r="N211" s="24">
        <f t="shared" si="3"/>
        <v>0</v>
      </c>
      <c r="O211" s="97"/>
    </row>
    <row r="212" spans="1:15" x14ac:dyDescent="0.25">
      <c r="A212" s="104">
        <v>449780</v>
      </c>
      <c r="B212" s="4" t="s">
        <v>1491</v>
      </c>
      <c r="C212" s="4" t="s">
        <v>1492</v>
      </c>
      <c r="D212" s="75" t="str">
        <f>_xlfn.XLOOKUP(B212,'Product Hierarchy'!A:A,'Product Hierarchy'!C:C)</f>
        <v>LEVEL5</v>
      </c>
      <c r="E212" s="75" t="str">
        <f>_xlfn.XLOOKUP(B212,'Product Hierarchy'!A:A,'Product Hierarchy'!E:E)</f>
        <v>Drywall Hand Tools</v>
      </c>
      <c r="F212" s="75" t="str">
        <f>_xlfn.XLOOKUP(B212,'Product Hierarchy'!A:A,'Product Hierarchy'!F:F)</f>
        <v>Radial Sanders</v>
      </c>
      <c r="G212" s="76">
        <v>26.99</v>
      </c>
      <c r="H212" s="76">
        <v>24.29</v>
      </c>
      <c r="I212" s="6">
        <v>17</v>
      </c>
      <c r="J212" s="5" t="s">
        <v>26</v>
      </c>
      <c r="K212" s="5">
        <v>1</v>
      </c>
      <c r="L212" s="5">
        <v>24</v>
      </c>
      <c r="M212" s="45"/>
      <c r="N212" s="24">
        <f t="shared" si="3"/>
        <v>0</v>
      </c>
      <c r="O212" s="97"/>
    </row>
    <row r="213" spans="1:15" x14ac:dyDescent="0.25">
      <c r="A213" s="104">
        <v>449782</v>
      </c>
      <c r="B213" s="4" t="s">
        <v>1529</v>
      </c>
      <c r="C213" s="4" t="s">
        <v>1530</v>
      </c>
      <c r="D213" s="75" t="str">
        <f>_xlfn.XLOOKUP(B213,'Product Hierarchy'!A:A,'Product Hierarchy'!C:C)</f>
        <v>LEVEL5</v>
      </c>
      <c r="E213" s="75" t="str">
        <f>_xlfn.XLOOKUP(B213,'Product Hierarchy'!A:A,'Product Hierarchy'!E:E)</f>
        <v>Drywall Hand Tools</v>
      </c>
      <c r="F213" s="75" t="str">
        <f>_xlfn.XLOOKUP(B213,'Product Hierarchy'!A:A,'Product Hierarchy'!F:F)</f>
        <v>Sanding Discs</v>
      </c>
      <c r="G213" s="76">
        <v>19.489999999999998</v>
      </c>
      <c r="H213" s="76">
        <v>17.54</v>
      </c>
      <c r="I213" s="6">
        <v>12.28</v>
      </c>
      <c r="J213" s="5" t="s">
        <v>26</v>
      </c>
      <c r="K213" s="5">
        <v>4</v>
      </c>
      <c r="L213" s="5">
        <v>24</v>
      </c>
      <c r="M213" s="45"/>
      <c r="N213" s="24">
        <f t="shared" si="3"/>
        <v>0</v>
      </c>
      <c r="O213" s="97"/>
    </row>
    <row r="214" spans="1:15" x14ac:dyDescent="0.25">
      <c r="A214" s="104">
        <v>449783</v>
      </c>
      <c r="B214" s="4" t="s">
        <v>1531</v>
      </c>
      <c r="C214" s="4" t="s">
        <v>1532</v>
      </c>
      <c r="D214" s="75" t="str">
        <f>_xlfn.XLOOKUP(B214,'Product Hierarchy'!A:A,'Product Hierarchy'!C:C)</f>
        <v>LEVEL5</v>
      </c>
      <c r="E214" s="75" t="str">
        <f>_xlfn.XLOOKUP(B214,'Product Hierarchy'!A:A,'Product Hierarchy'!E:E)</f>
        <v>Drywall Hand Tools</v>
      </c>
      <c r="F214" s="75" t="str">
        <f>_xlfn.XLOOKUP(B214,'Product Hierarchy'!A:A,'Product Hierarchy'!F:F)</f>
        <v>Sanding Discs</v>
      </c>
      <c r="G214" s="76">
        <v>19.489999999999998</v>
      </c>
      <c r="H214" s="76">
        <v>17.54</v>
      </c>
      <c r="I214" s="6">
        <v>12.28</v>
      </c>
      <c r="J214" s="5" t="s">
        <v>26</v>
      </c>
      <c r="K214" s="5">
        <v>4</v>
      </c>
      <c r="L214" s="5">
        <v>24</v>
      </c>
      <c r="M214" s="45"/>
      <c r="N214" s="24">
        <f t="shared" si="3"/>
        <v>0</v>
      </c>
      <c r="O214" s="97"/>
    </row>
    <row r="215" spans="1:15" x14ac:dyDescent="0.25">
      <c r="A215" s="104">
        <v>449784</v>
      </c>
      <c r="B215" s="4" t="s">
        <v>1533</v>
      </c>
      <c r="C215" s="4" t="s">
        <v>1534</v>
      </c>
      <c r="D215" s="75" t="str">
        <f>_xlfn.XLOOKUP(B215,'Product Hierarchy'!A:A,'Product Hierarchy'!C:C)</f>
        <v>LEVEL5</v>
      </c>
      <c r="E215" s="75" t="str">
        <f>_xlfn.XLOOKUP(B215,'Product Hierarchy'!A:A,'Product Hierarchy'!E:E)</f>
        <v>Drywall Hand Tools</v>
      </c>
      <c r="F215" s="75" t="str">
        <f>_xlfn.XLOOKUP(B215,'Product Hierarchy'!A:A,'Product Hierarchy'!F:F)</f>
        <v>Sanding Discs</v>
      </c>
      <c r="G215" s="76">
        <v>19.489999999999998</v>
      </c>
      <c r="H215" s="76">
        <v>17.54</v>
      </c>
      <c r="I215" s="6">
        <v>12.28</v>
      </c>
      <c r="J215" s="5" t="s">
        <v>26</v>
      </c>
      <c r="K215" s="5">
        <v>4</v>
      </c>
      <c r="L215" s="5">
        <v>24</v>
      </c>
      <c r="M215" s="45"/>
      <c r="N215" s="24">
        <f t="shared" si="3"/>
        <v>0</v>
      </c>
      <c r="O215" s="97"/>
    </row>
    <row r="216" spans="1:15" x14ac:dyDescent="0.25">
      <c r="A216" s="104">
        <v>449785</v>
      </c>
      <c r="B216" s="4" t="s">
        <v>1535</v>
      </c>
      <c r="C216" s="4" t="s">
        <v>1536</v>
      </c>
      <c r="D216" s="75" t="str">
        <f>_xlfn.XLOOKUP(B216,'Product Hierarchy'!A:A,'Product Hierarchy'!C:C)</f>
        <v>LEVEL5</v>
      </c>
      <c r="E216" s="75" t="str">
        <f>_xlfn.XLOOKUP(B216,'Product Hierarchy'!A:A,'Product Hierarchy'!E:E)</f>
        <v>Drywall Hand Tools</v>
      </c>
      <c r="F216" s="75" t="str">
        <f>_xlfn.XLOOKUP(B216,'Product Hierarchy'!A:A,'Product Hierarchy'!F:F)</f>
        <v>Sanding Discs</v>
      </c>
      <c r="G216" s="76">
        <v>19.489999999999998</v>
      </c>
      <c r="H216" s="76">
        <v>17.54</v>
      </c>
      <c r="I216" s="6">
        <v>12.28</v>
      </c>
      <c r="J216" s="5" t="s">
        <v>26</v>
      </c>
      <c r="K216" s="5">
        <v>4</v>
      </c>
      <c r="L216" s="5">
        <v>24</v>
      </c>
      <c r="M216" s="45"/>
      <c r="N216" s="24">
        <f t="shared" si="3"/>
        <v>0</v>
      </c>
      <c r="O216" s="97"/>
    </row>
    <row r="217" spans="1:15" x14ac:dyDescent="0.25">
      <c r="A217" s="104">
        <v>449786</v>
      </c>
      <c r="B217" s="4" t="s">
        <v>1537</v>
      </c>
      <c r="C217" s="4" t="s">
        <v>1538</v>
      </c>
      <c r="D217" s="75" t="str">
        <f>_xlfn.XLOOKUP(B217,'Product Hierarchy'!A:A,'Product Hierarchy'!C:C)</f>
        <v>LEVEL5</v>
      </c>
      <c r="E217" s="75" t="str">
        <f>_xlfn.XLOOKUP(B217,'Product Hierarchy'!A:A,'Product Hierarchy'!E:E)</f>
        <v>Drywall Hand Tools</v>
      </c>
      <c r="F217" s="75" t="str">
        <f>_xlfn.XLOOKUP(B217,'Product Hierarchy'!A:A,'Product Hierarchy'!F:F)</f>
        <v>Sanding Discs</v>
      </c>
      <c r="G217" s="76">
        <v>19.489999999999998</v>
      </c>
      <c r="H217" s="76">
        <v>17.54</v>
      </c>
      <c r="I217" s="6">
        <v>12.28</v>
      </c>
      <c r="J217" s="5" t="s">
        <v>26</v>
      </c>
      <c r="K217" s="5">
        <v>4</v>
      </c>
      <c r="L217" s="5">
        <v>24</v>
      </c>
      <c r="M217" s="45"/>
      <c r="N217" s="24">
        <f t="shared" si="3"/>
        <v>0</v>
      </c>
      <c r="O217" s="97"/>
    </row>
    <row r="218" spans="1:15" x14ac:dyDescent="0.25">
      <c r="A218" s="104">
        <v>449787</v>
      </c>
      <c r="B218" s="4" t="s">
        <v>1539</v>
      </c>
      <c r="C218" s="4" t="s">
        <v>1540</v>
      </c>
      <c r="D218" s="75" t="str">
        <f>_xlfn.XLOOKUP(B218,'Product Hierarchy'!A:A,'Product Hierarchy'!C:C)</f>
        <v>LEVEL5</v>
      </c>
      <c r="E218" s="75" t="str">
        <f>_xlfn.XLOOKUP(B218,'Product Hierarchy'!A:A,'Product Hierarchy'!E:E)</f>
        <v>Drywall Hand Tools</v>
      </c>
      <c r="F218" s="75" t="str">
        <f>_xlfn.XLOOKUP(B218,'Product Hierarchy'!A:A,'Product Hierarchy'!F:F)</f>
        <v>Sanding Discs</v>
      </c>
      <c r="G218" s="76">
        <v>19.489999999999998</v>
      </c>
      <c r="H218" s="76">
        <v>17.54</v>
      </c>
      <c r="I218" s="6">
        <v>12.28</v>
      </c>
      <c r="J218" s="5" t="s">
        <v>26</v>
      </c>
      <c r="K218" s="5">
        <v>4</v>
      </c>
      <c r="L218" s="5">
        <v>24</v>
      </c>
      <c r="M218" s="45"/>
      <c r="N218" s="24">
        <f t="shared" si="3"/>
        <v>0</v>
      </c>
      <c r="O218" s="97"/>
    </row>
    <row r="219" spans="1:15" x14ac:dyDescent="0.25">
      <c r="A219" s="104">
        <v>449790</v>
      </c>
      <c r="B219" s="4" t="s">
        <v>866</v>
      </c>
      <c r="C219" s="4" t="s">
        <v>867</v>
      </c>
      <c r="D219" s="75" t="str">
        <f>_xlfn.XLOOKUP(B219,'Product Hierarchy'!A:A,'Product Hierarchy'!C:C)</f>
        <v>LEVEL5</v>
      </c>
      <c r="E219" s="75" t="str">
        <f>_xlfn.XLOOKUP(B219,'Product Hierarchy'!A:A,'Product Hierarchy'!E:E)</f>
        <v>Drywall Hand Tools</v>
      </c>
      <c r="F219" s="75" t="str">
        <f>_xlfn.XLOOKUP(B219,'Product Hierarchy'!A:A,'Product Hierarchy'!F:F)</f>
        <v>Storage</v>
      </c>
      <c r="G219" s="76">
        <v>124.99</v>
      </c>
      <c r="H219" s="76">
        <v>112.49</v>
      </c>
      <c r="I219" s="6">
        <v>78.739999999999995</v>
      </c>
      <c r="J219" s="5" t="s">
        <v>26</v>
      </c>
      <c r="K219" s="5">
        <v>1</v>
      </c>
      <c r="L219" s="5">
        <v>6</v>
      </c>
      <c r="M219" s="45"/>
      <c r="N219" s="24">
        <f t="shared" si="3"/>
        <v>0</v>
      </c>
      <c r="O219" s="97"/>
    </row>
    <row r="220" spans="1:15" x14ac:dyDescent="0.25">
      <c r="A220" s="104">
        <v>449791</v>
      </c>
      <c r="B220" s="4" t="s">
        <v>868</v>
      </c>
      <c r="C220" s="4" t="s">
        <v>869</v>
      </c>
      <c r="D220" s="75" t="str">
        <f>_xlfn.XLOOKUP(B220,'Product Hierarchy'!A:A,'Product Hierarchy'!C:C)</f>
        <v>LEVEL5</v>
      </c>
      <c r="E220" s="75" t="str">
        <f>_xlfn.XLOOKUP(B220,'Product Hierarchy'!A:A,'Product Hierarchy'!E:E)</f>
        <v>Drywall Hand Tools</v>
      </c>
      <c r="F220" s="75" t="str">
        <f>_xlfn.XLOOKUP(B220,'Product Hierarchy'!A:A,'Product Hierarchy'!F:F)</f>
        <v>Storage</v>
      </c>
      <c r="G220" s="76">
        <v>134.99</v>
      </c>
      <c r="H220" s="76">
        <v>121.49</v>
      </c>
      <c r="I220" s="6">
        <v>85.04</v>
      </c>
      <c r="J220" s="5" t="s">
        <v>26</v>
      </c>
      <c r="K220" s="5">
        <v>1</v>
      </c>
      <c r="L220" s="5">
        <v>2</v>
      </c>
      <c r="M220" s="45"/>
      <c r="N220" s="24">
        <f t="shared" si="3"/>
        <v>0</v>
      </c>
      <c r="O220" s="97"/>
    </row>
    <row r="221" spans="1:15" x14ac:dyDescent="0.25">
      <c r="A221" s="104">
        <v>449792</v>
      </c>
      <c r="B221" s="4" t="s">
        <v>579</v>
      </c>
      <c r="C221" s="4" t="s">
        <v>580</v>
      </c>
      <c r="D221" s="75" t="str">
        <f>_xlfn.XLOOKUP(B221,'Product Hierarchy'!A:A,'Product Hierarchy'!C:C)</f>
        <v>LEVEL5</v>
      </c>
      <c r="E221" s="75" t="str">
        <f>_xlfn.XLOOKUP(B221,'Product Hierarchy'!A:A,'Product Hierarchy'!E:E)</f>
        <v>Drywall Hand Tools</v>
      </c>
      <c r="F221" s="75" t="str">
        <f>_xlfn.XLOOKUP(B221,'Product Hierarchy'!A:A,'Product Hierarchy'!F:F)</f>
        <v>Taping Knives</v>
      </c>
      <c r="G221" s="76">
        <v>30.49</v>
      </c>
      <c r="H221" s="76">
        <v>27.44</v>
      </c>
      <c r="I221" s="6">
        <v>19.21</v>
      </c>
      <c r="J221" s="5" t="s">
        <v>26</v>
      </c>
      <c r="K221" s="5">
        <v>4</v>
      </c>
      <c r="L221" s="5">
        <v>48</v>
      </c>
      <c r="M221" s="43"/>
      <c r="N221" s="24">
        <f t="shared" si="3"/>
        <v>0</v>
      </c>
      <c r="O221" s="97"/>
    </row>
    <row r="222" spans="1:15" x14ac:dyDescent="0.25">
      <c r="A222" s="104">
        <v>449793</v>
      </c>
      <c r="B222" s="4" t="s">
        <v>581</v>
      </c>
      <c r="C222" s="4" t="s">
        <v>582</v>
      </c>
      <c r="D222" s="75" t="str">
        <f>_xlfn.XLOOKUP(B222,'Product Hierarchy'!A:A,'Product Hierarchy'!C:C)</f>
        <v>LEVEL5</v>
      </c>
      <c r="E222" s="75" t="str">
        <f>_xlfn.XLOOKUP(B222,'Product Hierarchy'!A:A,'Product Hierarchy'!E:E)</f>
        <v>Drywall Hand Tools</v>
      </c>
      <c r="F222" s="75" t="str">
        <f>_xlfn.XLOOKUP(B222,'Product Hierarchy'!A:A,'Product Hierarchy'!F:F)</f>
        <v>Taping Knives</v>
      </c>
      <c r="G222" s="76">
        <v>30.49</v>
      </c>
      <c r="H222" s="76">
        <v>27.44</v>
      </c>
      <c r="I222" s="6">
        <v>19.21</v>
      </c>
      <c r="J222" s="5" t="s">
        <v>26</v>
      </c>
      <c r="K222" s="5">
        <v>4</v>
      </c>
      <c r="L222" s="5">
        <v>48</v>
      </c>
      <c r="M222" s="43"/>
      <c r="N222" s="24">
        <f t="shared" si="3"/>
        <v>0</v>
      </c>
      <c r="O222" s="97"/>
    </row>
    <row r="223" spans="1:15" x14ac:dyDescent="0.25">
      <c r="A223" s="104">
        <v>449794</v>
      </c>
      <c r="B223" s="4" t="s">
        <v>583</v>
      </c>
      <c r="C223" s="4" t="s">
        <v>584</v>
      </c>
      <c r="D223" s="75" t="str">
        <f>_xlfn.XLOOKUP(B223,'Product Hierarchy'!A:A,'Product Hierarchy'!C:C)</f>
        <v>LEVEL5</v>
      </c>
      <c r="E223" s="75" t="str">
        <f>_xlfn.XLOOKUP(B223,'Product Hierarchy'!A:A,'Product Hierarchy'!E:E)</f>
        <v>Drywall Hand Tools</v>
      </c>
      <c r="F223" s="75" t="str">
        <f>_xlfn.XLOOKUP(B223,'Product Hierarchy'!A:A,'Product Hierarchy'!F:F)</f>
        <v>Taping Knives</v>
      </c>
      <c r="G223" s="76">
        <v>32.49</v>
      </c>
      <c r="H223" s="76">
        <v>29.24</v>
      </c>
      <c r="I223" s="6">
        <v>20.47</v>
      </c>
      <c r="J223" s="5" t="s">
        <v>26</v>
      </c>
      <c r="K223" s="5">
        <v>4</v>
      </c>
      <c r="L223" s="5">
        <v>48</v>
      </c>
      <c r="M223" s="43"/>
      <c r="N223" s="24">
        <f t="shared" si="3"/>
        <v>0</v>
      </c>
      <c r="O223" s="97"/>
    </row>
    <row r="224" spans="1:15" x14ac:dyDescent="0.25">
      <c r="A224" s="104">
        <v>449795</v>
      </c>
      <c r="B224" s="4" t="s">
        <v>585</v>
      </c>
      <c r="C224" s="4" t="s">
        <v>586</v>
      </c>
      <c r="D224" s="75" t="str">
        <f>_xlfn.XLOOKUP(B224,'Product Hierarchy'!A:A,'Product Hierarchy'!C:C)</f>
        <v>LEVEL5</v>
      </c>
      <c r="E224" s="75" t="str">
        <f>_xlfn.XLOOKUP(B224,'Product Hierarchy'!A:A,'Product Hierarchy'!E:E)</f>
        <v>Drywall Hand Tools</v>
      </c>
      <c r="F224" s="75" t="str">
        <f>_xlfn.XLOOKUP(B224,'Product Hierarchy'!A:A,'Product Hierarchy'!F:F)</f>
        <v>Taping Knives</v>
      </c>
      <c r="G224" s="76">
        <v>32.49</v>
      </c>
      <c r="H224" s="76">
        <v>29.24</v>
      </c>
      <c r="I224" s="6">
        <v>20.47</v>
      </c>
      <c r="J224" s="5" t="s">
        <v>26</v>
      </c>
      <c r="K224" s="5">
        <v>4</v>
      </c>
      <c r="L224" s="5">
        <v>48</v>
      </c>
      <c r="M224" s="43"/>
      <c r="N224" s="24">
        <f t="shared" si="3"/>
        <v>0</v>
      </c>
      <c r="O224" s="97"/>
    </row>
    <row r="225" spans="1:15" x14ac:dyDescent="0.25">
      <c r="A225" s="104">
        <v>449796</v>
      </c>
      <c r="B225" s="4" t="s">
        <v>587</v>
      </c>
      <c r="C225" s="4" t="s">
        <v>588</v>
      </c>
      <c r="D225" s="75" t="str">
        <f>_xlfn.XLOOKUP(B225,'Product Hierarchy'!A:A,'Product Hierarchy'!C:C)</f>
        <v>LEVEL5</v>
      </c>
      <c r="E225" s="75" t="str">
        <f>_xlfn.XLOOKUP(B225,'Product Hierarchy'!A:A,'Product Hierarchy'!E:E)</f>
        <v>Drywall Hand Tools</v>
      </c>
      <c r="F225" s="75" t="str">
        <f>_xlfn.XLOOKUP(B225,'Product Hierarchy'!A:A,'Product Hierarchy'!F:F)</f>
        <v>Taping Knives</v>
      </c>
      <c r="G225" s="76">
        <v>34.99</v>
      </c>
      <c r="H225" s="76">
        <v>31.49</v>
      </c>
      <c r="I225" s="6">
        <v>22.04</v>
      </c>
      <c r="J225" s="5" t="s">
        <v>26</v>
      </c>
      <c r="K225" s="5">
        <v>4</v>
      </c>
      <c r="L225" s="5">
        <v>48</v>
      </c>
      <c r="M225" s="43"/>
      <c r="N225" s="24">
        <f t="shared" si="3"/>
        <v>0</v>
      </c>
      <c r="O225" s="97"/>
    </row>
    <row r="226" spans="1:15" x14ac:dyDescent="0.25">
      <c r="A226" s="104">
        <v>449797</v>
      </c>
      <c r="B226" s="4" t="s">
        <v>589</v>
      </c>
      <c r="C226" s="4" t="s">
        <v>590</v>
      </c>
      <c r="D226" s="75" t="str">
        <f>_xlfn.XLOOKUP(B226,'Product Hierarchy'!A:A,'Product Hierarchy'!C:C)</f>
        <v>LEVEL5</v>
      </c>
      <c r="E226" s="75" t="str">
        <f>_xlfn.XLOOKUP(B226,'Product Hierarchy'!A:A,'Product Hierarchy'!E:E)</f>
        <v>Drywall Hand Tools</v>
      </c>
      <c r="F226" s="75" t="str">
        <f>_xlfn.XLOOKUP(B226,'Product Hierarchy'!A:A,'Product Hierarchy'!F:F)</f>
        <v>Taping Knives</v>
      </c>
      <c r="G226" s="76">
        <v>34.99</v>
      </c>
      <c r="H226" s="76">
        <v>31.49</v>
      </c>
      <c r="I226" s="6">
        <v>22.04</v>
      </c>
      <c r="J226" s="5" t="s">
        <v>26</v>
      </c>
      <c r="K226" s="5">
        <v>4</v>
      </c>
      <c r="L226" s="5">
        <v>48</v>
      </c>
      <c r="M226" s="43"/>
      <c r="N226" s="24">
        <f t="shared" si="3"/>
        <v>0</v>
      </c>
      <c r="O226" s="97"/>
    </row>
    <row r="227" spans="1:15" x14ac:dyDescent="0.25">
      <c r="A227" s="104">
        <v>449798</v>
      </c>
      <c r="B227" s="4" t="s">
        <v>591</v>
      </c>
      <c r="C227" s="4" t="s">
        <v>592</v>
      </c>
      <c r="D227" s="75" t="str">
        <f>_xlfn.XLOOKUP(B227,'Product Hierarchy'!A:A,'Product Hierarchy'!C:C)</f>
        <v>LEVEL5</v>
      </c>
      <c r="E227" s="75" t="str">
        <f>_xlfn.XLOOKUP(B227,'Product Hierarchy'!A:A,'Product Hierarchy'!E:E)</f>
        <v>Drywall Hand Tools</v>
      </c>
      <c r="F227" s="75" t="str">
        <f>_xlfn.XLOOKUP(B227,'Product Hierarchy'!A:A,'Product Hierarchy'!F:F)</f>
        <v>Taping Knives</v>
      </c>
      <c r="G227" s="76">
        <v>36.99</v>
      </c>
      <c r="H227" s="76">
        <v>33.29</v>
      </c>
      <c r="I227" s="6">
        <v>23.3</v>
      </c>
      <c r="J227" s="5" t="s">
        <v>26</v>
      </c>
      <c r="K227" s="5">
        <v>4</v>
      </c>
      <c r="L227" s="5">
        <v>48</v>
      </c>
      <c r="M227" s="43"/>
      <c r="N227" s="24">
        <f t="shared" si="3"/>
        <v>0</v>
      </c>
      <c r="O227" s="97"/>
    </row>
    <row r="228" spans="1:15" x14ac:dyDescent="0.25">
      <c r="A228" s="104">
        <v>449799</v>
      </c>
      <c r="B228" s="4" t="s">
        <v>593</v>
      </c>
      <c r="C228" s="4" t="s">
        <v>594</v>
      </c>
      <c r="D228" s="75" t="str">
        <f>_xlfn.XLOOKUP(B228,'Product Hierarchy'!A:A,'Product Hierarchy'!C:C)</f>
        <v>LEVEL5</v>
      </c>
      <c r="E228" s="75" t="str">
        <f>_xlfn.XLOOKUP(B228,'Product Hierarchy'!A:A,'Product Hierarchy'!E:E)</f>
        <v>Drywall Hand Tools</v>
      </c>
      <c r="F228" s="75" t="str">
        <f>_xlfn.XLOOKUP(B228,'Product Hierarchy'!A:A,'Product Hierarchy'!F:F)</f>
        <v>Taping Knives</v>
      </c>
      <c r="G228" s="76">
        <v>36.99</v>
      </c>
      <c r="H228" s="76">
        <v>33.29</v>
      </c>
      <c r="I228" s="6">
        <v>23.3</v>
      </c>
      <c r="J228" s="5" t="s">
        <v>26</v>
      </c>
      <c r="K228" s="5">
        <v>4</v>
      </c>
      <c r="L228" s="5">
        <v>48</v>
      </c>
      <c r="M228" s="43"/>
      <c r="N228" s="24">
        <f t="shared" si="3"/>
        <v>0</v>
      </c>
      <c r="O228" s="97"/>
    </row>
    <row r="229" spans="1:15" x14ac:dyDescent="0.25">
      <c r="A229" s="104">
        <v>449800</v>
      </c>
      <c r="B229" s="4" t="s">
        <v>595</v>
      </c>
      <c r="C229" s="4" t="s">
        <v>596</v>
      </c>
      <c r="D229" s="75" t="str">
        <f>_xlfn.XLOOKUP(B229,'Product Hierarchy'!A:A,'Product Hierarchy'!C:C)</f>
        <v>LEVEL5</v>
      </c>
      <c r="E229" s="75" t="str">
        <f>_xlfn.XLOOKUP(B229,'Product Hierarchy'!A:A,'Product Hierarchy'!E:E)</f>
        <v>Drywall Hand Tools</v>
      </c>
      <c r="F229" s="75" t="str">
        <f>_xlfn.XLOOKUP(B229,'Product Hierarchy'!A:A,'Product Hierarchy'!F:F)</f>
        <v>Taping Knives</v>
      </c>
      <c r="G229" s="76">
        <v>38.99</v>
      </c>
      <c r="H229" s="76">
        <v>35.090000000000003</v>
      </c>
      <c r="I229" s="6">
        <v>24.56</v>
      </c>
      <c r="J229" s="5" t="s">
        <v>26</v>
      </c>
      <c r="K229" s="5">
        <v>4</v>
      </c>
      <c r="L229" s="5">
        <v>24</v>
      </c>
      <c r="M229" s="43"/>
      <c r="N229" s="24">
        <f t="shared" si="3"/>
        <v>0</v>
      </c>
      <c r="O229" s="97"/>
    </row>
    <row r="230" spans="1:15" x14ac:dyDescent="0.25">
      <c r="A230" s="104">
        <v>449801</v>
      </c>
      <c r="B230" s="4" t="s">
        <v>597</v>
      </c>
      <c r="C230" s="4" t="s">
        <v>598</v>
      </c>
      <c r="D230" s="75" t="str">
        <f>_xlfn.XLOOKUP(B230,'Product Hierarchy'!A:A,'Product Hierarchy'!C:C)</f>
        <v>LEVEL5</v>
      </c>
      <c r="E230" s="75" t="str">
        <f>_xlfn.XLOOKUP(B230,'Product Hierarchy'!A:A,'Product Hierarchy'!E:E)</f>
        <v>Drywall Hand Tools</v>
      </c>
      <c r="F230" s="75" t="str">
        <f>_xlfn.XLOOKUP(B230,'Product Hierarchy'!A:A,'Product Hierarchy'!F:F)</f>
        <v>Taping Knives</v>
      </c>
      <c r="G230" s="76">
        <v>38.99</v>
      </c>
      <c r="H230" s="76">
        <v>35.090000000000003</v>
      </c>
      <c r="I230" s="6">
        <v>24.56</v>
      </c>
      <c r="J230" s="5" t="s">
        <v>26</v>
      </c>
      <c r="K230" s="5">
        <v>4</v>
      </c>
      <c r="L230" s="5">
        <v>24</v>
      </c>
      <c r="M230" s="43"/>
      <c r="N230" s="24">
        <f t="shared" si="3"/>
        <v>0</v>
      </c>
      <c r="O230" s="97"/>
    </row>
    <row r="231" spans="1:15" x14ac:dyDescent="0.25">
      <c r="A231" s="104">
        <v>449802</v>
      </c>
      <c r="B231" s="4" t="s">
        <v>599</v>
      </c>
      <c r="C231" s="4" t="s">
        <v>600</v>
      </c>
      <c r="D231" s="75" t="str">
        <f>_xlfn.XLOOKUP(B231,'Product Hierarchy'!A:A,'Product Hierarchy'!C:C)</f>
        <v>LEVEL5</v>
      </c>
      <c r="E231" s="75" t="str">
        <f>_xlfn.XLOOKUP(B231,'Product Hierarchy'!A:A,'Product Hierarchy'!E:E)</f>
        <v>Drywall Hand Tools</v>
      </c>
      <c r="F231" s="75" t="str">
        <f>_xlfn.XLOOKUP(B231,'Product Hierarchy'!A:A,'Product Hierarchy'!F:F)</f>
        <v>Taping Knives</v>
      </c>
      <c r="G231" s="76">
        <v>40.99</v>
      </c>
      <c r="H231" s="76">
        <v>36.89</v>
      </c>
      <c r="I231" s="6">
        <v>25.82</v>
      </c>
      <c r="J231" s="5" t="s">
        <v>26</v>
      </c>
      <c r="K231" s="5">
        <v>4</v>
      </c>
      <c r="L231" s="5">
        <v>24</v>
      </c>
      <c r="M231" s="43"/>
      <c r="N231" s="24">
        <f t="shared" si="3"/>
        <v>0</v>
      </c>
      <c r="O231" s="97"/>
    </row>
    <row r="232" spans="1:15" x14ac:dyDescent="0.25">
      <c r="A232" s="104">
        <v>449803</v>
      </c>
      <c r="B232" s="4" t="s">
        <v>601</v>
      </c>
      <c r="C232" s="4" t="s">
        <v>602</v>
      </c>
      <c r="D232" s="75" t="str">
        <f>_xlfn.XLOOKUP(B232,'Product Hierarchy'!A:A,'Product Hierarchy'!C:C)</f>
        <v>LEVEL5</v>
      </c>
      <c r="E232" s="75" t="str">
        <f>_xlfn.XLOOKUP(B232,'Product Hierarchy'!A:A,'Product Hierarchy'!E:E)</f>
        <v>Drywall Hand Tools</v>
      </c>
      <c r="F232" s="75" t="str">
        <f>_xlfn.XLOOKUP(B232,'Product Hierarchy'!A:A,'Product Hierarchy'!F:F)</f>
        <v>Taping Knives</v>
      </c>
      <c r="G232" s="76">
        <v>40.99</v>
      </c>
      <c r="H232" s="76">
        <v>36.89</v>
      </c>
      <c r="I232" s="6">
        <v>25.82</v>
      </c>
      <c r="J232" s="5" t="s">
        <v>26</v>
      </c>
      <c r="K232" s="5">
        <v>4</v>
      </c>
      <c r="L232" s="5">
        <v>24</v>
      </c>
      <c r="M232" s="43"/>
      <c r="N232" s="24">
        <f t="shared" si="3"/>
        <v>0</v>
      </c>
      <c r="O232" s="97"/>
    </row>
    <row r="233" spans="1:15" x14ac:dyDescent="0.25">
      <c r="A233" s="104">
        <v>449804</v>
      </c>
      <c r="B233" s="4" t="s">
        <v>603</v>
      </c>
      <c r="C233" s="4" t="s">
        <v>604</v>
      </c>
      <c r="D233" s="75" t="str">
        <f>_xlfn.XLOOKUP(B233,'Product Hierarchy'!A:A,'Product Hierarchy'!C:C)</f>
        <v>LEVEL5</v>
      </c>
      <c r="E233" s="75" t="str">
        <f>_xlfn.XLOOKUP(B233,'Product Hierarchy'!A:A,'Product Hierarchy'!E:E)</f>
        <v>Drywall Hand Tools</v>
      </c>
      <c r="F233" s="75" t="str">
        <f>_xlfn.XLOOKUP(B233,'Product Hierarchy'!A:A,'Product Hierarchy'!F:F)</f>
        <v>Taping Knives</v>
      </c>
      <c r="G233" s="76">
        <v>7.99</v>
      </c>
      <c r="H233" s="76">
        <v>7.19</v>
      </c>
      <c r="I233" s="6">
        <v>5.03</v>
      </c>
      <c r="J233" s="5" t="s">
        <v>26</v>
      </c>
      <c r="K233" s="5">
        <v>4</v>
      </c>
      <c r="L233" s="5">
        <v>48</v>
      </c>
      <c r="M233" s="43"/>
      <c r="N233" s="24">
        <f t="shared" si="3"/>
        <v>0</v>
      </c>
      <c r="O233" s="97"/>
    </row>
    <row r="234" spans="1:15" x14ac:dyDescent="0.25">
      <c r="A234" s="104">
        <v>449805</v>
      </c>
      <c r="B234" s="4" t="s">
        <v>103</v>
      </c>
      <c r="C234" s="4" t="s">
        <v>721</v>
      </c>
      <c r="D234" s="75" t="str">
        <f>_xlfn.XLOOKUP(B234,'Product Hierarchy'!A:A,'Product Hierarchy'!C:C)</f>
        <v>LEVEL5</v>
      </c>
      <c r="E234" s="75" t="str">
        <f>_xlfn.XLOOKUP(B234,'Product Hierarchy'!A:A,'Product Hierarchy'!E:E)</f>
        <v>Drywall Hand Tools</v>
      </c>
      <c r="F234" s="75" t="str">
        <f>_xlfn.XLOOKUP(B234,'Product Hierarchy'!A:A,'Product Hierarchy'!F:F)</f>
        <v>Joint Knives</v>
      </c>
      <c r="G234" s="76">
        <v>16.489999999999998</v>
      </c>
      <c r="H234" s="76">
        <v>14.84</v>
      </c>
      <c r="I234" s="6">
        <v>10.39</v>
      </c>
      <c r="J234" s="5" t="s">
        <v>26</v>
      </c>
      <c r="K234" s="5">
        <v>4</v>
      </c>
      <c r="L234" s="5">
        <v>48</v>
      </c>
      <c r="M234" s="43"/>
      <c r="N234" s="24">
        <f t="shared" si="3"/>
        <v>0</v>
      </c>
      <c r="O234" s="97"/>
    </row>
    <row r="235" spans="1:15" x14ac:dyDescent="0.25">
      <c r="A235" s="104">
        <v>449806</v>
      </c>
      <c r="B235" s="4" t="s">
        <v>104</v>
      </c>
      <c r="C235" s="4" t="s">
        <v>722</v>
      </c>
      <c r="D235" s="75" t="str">
        <f>_xlfn.XLOOKUP(B235,'Product Hierarchy'!A:A,'Product Hierarchy'!C:C)</f>
        <v>LEVEL5</v>
      </c>
      <c r="E235" s="75" t="str">
        <f>_xlfn.XLOOKUP(B235,'Product Hierarchy'!A:A,'Product Hierarchy'!E:E)</f>
        <v>Drywall Hand Tools</v>
      </c>
      <c r="F235" s="75" t="str">
        <f>_xlfn.XLOOKUP(B235,'Product Hierarchy'!A:A,'Product Hierarchy'!F:F)</f>
        <v>Joint Knives</v>
      </c>
      <c r="G235" s="76">
        <v>17.489999999999998</v>
      </c>
      <c r="H235" s="76">
        <v>15.74</v>
      </c>
      <c r="I235" s="6">
        <v>11.02</v>
      </c>
      <c r="J235" s="5" t="s">
        <v>26</v>
      </c>
      <c r="K235" s="5">
        <v>4</v>
      </c>
      <c r="L235" s="5">
        <v>48</v>
      </c>
      <c r="M235" s="43"/>
      <c r="N235" s="24">
        <f t="shared" si="3"/>
        <v>0</v>
      </c>
      <c r="O235" s="97"/>
    </row>
    <row r="236" spans="1:15" x14ac:dyDescent="0.25">
      <c r="A236" s="104">
        <v>449807</v>
      </c>
      <c r="B236" s="4" t="s">
        <v>105</v>
      </c>
      <c r="C236" s="4" t="s">
        <v>723</v>
      </c>
      <c r="D236" s="75" t="str">
        <f>_xlfn.XLOOKUP(B236,'Product Hierarchy'!A:A,'Product Hierarchy'!C:C)</f>
        <v>LEVEL5</v>
      </c>
      <c r="E236" s="75" t="str">
        <f>_xlfn.XLOOKUP(B236,'Product Hierarchy'!A:A,'Product Hierarchy'!E:E)</f>
        <v>Drywall Hand Tools</v>
      </c>
      <c r="F236" s="75" t="str">
        <f>_xlfn.XLOOKUP(B236,'Product Hierarchy'!A:A,'Product Hierarchy'!F:F)</f>
        <v>Joint Knives</v>
      </c>
      <c r="G236" s="76">
        <v>18.489999999999998</v>
      </c>
      <c r="H236" s="76">
        <v>16.64</v>
      </c>
      <c r="I236" s="6">
        <v>11.65</v>
      </c>
      <c r="J236" s="5" t="s">
        <v>26</v>
      </c>
      <c r="K236" s="5">
        <v>4</v>
      </c>
      <c r="L236" s="5">
        <v>48</v>
      </c>
      <c r="M236" s="43"/>
      <c r="N236" s="24">
        <f t="shared" si="3"/>
        <v>0</v>
      </c>
      <c r="O236" s="97"/>
    </row>
    <row r="237" spans="1:15" x14ac:dyDescent="0.25">
      <c r="A237" s="104">
        <v>449808</v>
      </c>
      <c r="B237" s="4" t="s">
        <v>106</v>
      </c>
      <c r="C237" s="4" t="s">
        <v>724</v>
      </c>
      <c r="D237" s="75" t="str">
        <f>_xlfn.XLOOKUP(B237,'Product Hierarchy'!A:A,'Product Hierarchy'!C:C)</f>
        <v>LEVEL5</v>
      </c>
      <c r="E237" s="75" t="str">
        <f>_xlfn.XLOOKUP(B237,'Product Hierarchy'!A:A,'Product Hierarchy'!E:E)</f>
        <v>Drywall Hand Tools</v>
      </c>
      <c r="F237" s="75" t="str">
        <f>_xlfn.XLOOKUP(B237,'Product Hierarchy'!A:A,'Product Hierarchy'!F:F)</f>
        <v>Joint Knives</v>
      </c>
      <c r="G237" s="76">
        <v>19.489999999999998</v>
      </c>
      <c r="H237" s="76">
        <v>17.54</v>
      </c>
      <c r="I237" s="6">
        <v>12.28</v>
      </c>
      <c r="J237" s="5" t="s">
        <v>26</v>
      </c>
      <c r="K237" s="5">
        <v>4</v>
      </c>
      <c r="L237" s="5">
        <v>48</v>
      </c>
      <c r="M237" s="43"/>
      <c r="N237" s="24">
        <f t="shared" si="3"/>
        <v>0</v>
      </c>
      <c r="O237" s="97"/>
    </row>
    <row r="238" spans="1:15" x14ac:dyDescent="0.25">
      <c r="A238" s="104">
        <v>449809</v>
      </c>
      <c r="B238" s="4" t="s">
        <v>107</v>
      </c>
      <c r="C238" s="4" t="s">
        <v>725</v>
      </c>
      <c r="D238" s="75" t="str">
        <f>_xlfn.XLOOKUP(B238,'Product Hierarchy'!A:A,'Product Hierarchy'!C:C)</f>
        <v>LEVEL5</v>
      </c>
      <c r="E238" s="75" t="str">
        <f>_xlfn.XLOOKUP(B238,'Product Hierarchy'!A:A,'Product Hierarchy'!E:E)</f>
        <v>Drywall Hand Tools</v>
      </c>
      <c r="F238" s="75" t="str">
        <f>_xlfn.XLOOKUP(B238,'Product Hierarchy'!A:A,'Product Hierarchy'!F:F)</f>
        <v>Joint Knives</v>
      </c>
      <c r="G238" s="76">
        <v>20.99</v>
      </c>
      <c r="H238" s="76">
        <v>18.89</v>
      </c>
      <c r="I238" s="6">
        <v>13.22</v>
      </c>
      <c r="J238" s="5" t="s">
        <v>26</v>
      </c>
      <c r="K238" s="5">
        <v>4</v>
      </c>
      <c r="L238" s="5">
        <v>48</v>
      </c>
      <c r="M238" s="43"/>
      <c r="N238" s="24">
        <f t="shared" si="3"/>
        <v>0</v>
      </c>
      <c r="O238" s="97"/>
    </row>
    <row r="239" spans="1:15" x14ac:dyDescent="0.25">
      <c r="A239" s="104">
        <v>449810</v>
      </c>
      <c r="B239" s="4" t="s">
        <v>108</v>
      </c>
      <c r="C239" s="4" t="s">
        <v>726</v>
      </c>
      <c r="D239" s="75" t="str">
        <f>_xlfn.XLOOKUP(B239,'Product Hierarchy'!A:A,'Product Hierarchy'!C:C)</f>
        <v>LEVEL5</v>
      </c>
      <c r="E239" s="75" t="str">
        <f>_xlfn.XLOOKUP(B239,'Product Hierarchy'!A:A,'Product Hierarchy'!E:E)</f>
        <v>Drywall Hand Tools</v>
      </c>
      <c r="F239" s="75" t="str">
        <f>_xlfn.XLOOKUP(B239,'Product Hierarchy'!A:A,'Product Hierarchy'!F:F)</f>
        <v>Joint Knives</v>
      </c>
      <c r="G239" s="76">
        <v>21.99</v>
      </c>
      <c r="H239" s="76">
        <v>19.79</v>
      </c>
      <c r="I239" s="6">
        <v>13.85</v>
      </c>
      <c r="J239" s="5" t="s">
        <v>26</v>
      </c>
      <c r="K239" s="5">
        <v>4</v>
      </c>
      <c r="L239" s="5">
        <v>48</v>
      </c>
      <c r="M239" s="43"/>
      <c r="N239" s="24">
        <f t="shared" si="3"/>
        <v>0</v>
      </c>
      <c r="O239" s="97"/>
    </row>
    <row r="240" spans="1:15" x14ac:dyDescent="0.25">
      <c r="A240" s="104">
        <v>449811</v>
      </c>
      <c r="B240" s="4" t="s">
        <v>109</v>
      </c>
      <c r="C240" s="4" t="s">
        <v>727</v>
      </c>
      <c r="D240" s="75" t="str">
        <f>_xlfn.XLOOKUP(B240,'Product Hierarchy'!A:A,'Product Hierarchy'!C:C)</f>
        <v>LEVEL5</v>
      </c>
      <c r="E240" s="75" t="str">
        <f>_xlfn.XLOOKUP(B240,'Product Hierarchy'!A:A,'Product Hierarchy'!E:E)</f>
        <v>Drywall Hand Tools</v>
      </c>
      <c r="F240" s="75" t="str">
        <f>_xlfn.XLOOKUP(B240,'Product Hierarchy'!A:A,'Product Hierarchy'!F:F)</f>
        <v>Joint Knives</v>
      </c>
      <c r="G240" s="76">
        <v>22.99</v>
      </c>
      <c r="H240" s="76">
        <v>20.69</v>
      </c>
      <c r="I240" s="6">
        <v>14.48</v>
      </c>
      <c r="J240" s="5" t="s">
        <v>26</v>
      </c>
      <c r="K240" s="5">
        <v>4</v>
      </c>
      <c r="L240" s="5">
        <v>48</v>
      </c>
      <c r="M240" s="43"/>
      <c r="N240" s="24">
        <f t="shared" si="3"/>
        <v>0</v>
      </c>
      <c r="O240" s="97"/>
    </row>
    <row r="241" spans="1:15" x14ac:dyDescent="0.25">
      <c r="A241" s="104">
        <v>449812</v>
      </c>
      <c r="B241" s="4" t="s">
        <v>110</v>
      </c>
      <c r="C241" s="4" t="s">
        <v>728</v>
      </c>
      <c r="D241" s="75" t="str">
        <f>_xlfn.XLOOKUP(B241,'Product Hierarchy'!A:A,'Product Hierarchy'!C:C)</f>
        <v>LEVEL5</v>
      </c>
      <c r="E241" s="75" t="str">
        <f>_xlfn.XLOOKUP(B241,'Product Hierarchy'!A:A,'Product Hierarchy'!E:E)</f>
        <v>Drywall Hand Tools</v>
      </c>
      <c r="F241" s="75" t="str">
        <f>_xlfn.XLOOKUP(B241,'Product Hierarchy'!A:A,'Product Hierarchy'!F:F)</f>
        <v>Joint Knives</v>
      </c>
      <c r="G241" s="76">
        <v>23.99</v>
      </c>
      <c r="H241" s="76">
        <v>21.59</v>
      </c>
      <c r="I241" s="6">
        <v>15.11</v>
      </c>
      <c r="J241" s="5" t="s">
        <v>26</v>
      </c>
      <c r="K241" s="5">
        <v>4</v>
      </c>
      <c r="L241" s="5">
        <v>48</v>
      </c>
      <c r="M241" s="43"/>
      <c r="N241" s="24">
        <f t="shared" si="3"/>
        <v>0</v>
      </c>
      <c r="O241" s="97"/>
    </row>
    <row r="242" spans="1:15" x14ac:dyDescent="0.25">
      <c r="A242" s="104">
        <v>449813</v>
      </c>
      <c r="B242" s="4" t="s">
        <v>111</v>
      </c>
      <c r="C242" s="4" t="s">
        <v>729</v>
      </c>
      <c r="D242" s="75" t="str">
        <f>_xlfn.XLOOKUP(B242,'Product Hierarchy'!A:A,'Product Hierarchy'!C:C)</f>
        <v>LEVEL5</v>
      </c>
      <c r="E242" s="75" t="str">
        <f>_xlfn.XLOOKUP(B242,'Product Hierarchy'!A:A,'Product Hierarchy'!E:E)</f>
        <v>Drywall Hand Tools</v>
      </c>
      <c r="F242" s="75" t="str">
        <f>_xlfn.XLOOKUP(B242,'Product Hierarchy'!A:A,'Product Hierarchy'!F:F)</f>
        <v>Joint Knives</v>
      </c>
      <c r="G242" s="76">
        <v>7.99</v>
      </c>
      <c r="H242" s="76">
        <v>7.19</v>
      </c>
      <c r="I242" s="6">
        <v>5.03</v>
      </c>
      <c r="J242" s="5" t="s">
        <v>26</v>
      </c>
      <c r="K242" s="5">
        <v>24</v>
      </c>
      <c r="L242" s="5">
        <v>144</v>
      </c>
      <c r="M242" s="43"/>
      <c r="N242" s="24">
        <f t="shared" si="3"/>
        <v>0</v>
      </c>
      <c r="O242" s="97"/>
    </row>
    <row r="243" spans="1:15" x14ac:dyDescent="0.25">
      <c r="A243" s="104">
        <v>449814</v>
      </c>
      <c r="B243" s="4" t="s">
        <v>829</v>
      </c>
      <c r="C243" s="4" t="s">
        <v>830</v>
      </c>
      <c r="D243" s="75" t="str">
        <f>_xlfn.XLOOKUP(B243,'Product Hierarchy'!A:A,'Product Hierarchy'!C:C)</f>
        <v>LEVEL5</v>
      </c>
      <c r="E243" s="75" t="str">
        <f>_xlfn.XLOOKUP(B243,'Product Hierarchy'!A:A,'Product Hierarchy'!E:E)</f>
        <v>Drywall Hand Tools</v>
      </c>
      <c r="F243" s="75" t="str">
        <f>_xlfn.XLOOKUP(B243,'Product Hierarchy'!A:A,'Product Hierarchy'!F:F)</f>
        <v>Joint Knives</v>
      </c>
      <c r="G243" s="76">
        <v>23.99</v>
      </c>
      <c r="H243" s="76">
        <v>21.59</v>
      </c>
      <c r="I243" s="6">
        <v>15.11</v>
      </c>
      <c r="J243" s="5" t="s">
        <v>26</v>
      </c>
      <c r="K243" s="5">
        <v>4</v>
      </c>
      <c r="L243" s="5">
        <v>48</v>
      </c>
      <c r="M243" s="43"/>
      <c r="N243" s="24">
        <f t="shared" si="3"/>
        <v>0</v>
      </c>
      <c r="O243" s="97"/>
    </row>
    <row r="244" spans="1:15" x14ac:dyDescent="0.25">
      <c r="A244" s="104">
        <v>449815</v>
      </c>
      <c r="B244" s="4" t="s">
        <v>831</v>
      </c>
      <c r="C244" s="4" t="s">
        <v>832</v>
      </c>
      <c r="D244" s="75" t="str">
        <f>_xlfn.XLOOKUP(B244,'Product Hierarchy'!A:A,'Product Hierarchy'!C:C)</f>
        <v>LEVEL5</v>
      </c>
      <c r="E244" s="75" t="str">
        <f>_xlfn.XLOOKUP(B244,'Product Hierarchy'!A:A,'Product Hierarchy'!E:E)</f>
        <v>Drywall Hand Tools</v>
      </c>
      <c r="F244" s="75" t="str">
        <f>_xlfn.XLOOKUP(B244,'Product Hierarchy'!A:A,'Product Hierarchy'!F:F)</f>
        <v>Joint Knives</v>
      </c>
      <c r="G244" s="76">
        <v>24.99</v>
      </c>
      <c r="H244" s="76">
        <v>22.49</v>
      </c>
      <c r="I244" s="6">
        <v>15.74</v>
      </c>
      <c r="J244" s="5" t="s">
        <v>26</v>
      </c>
      <c r="K244" s="5">
        <v>4</v>
      </c>
      <c r="L244" s="5">
        <v>48</v>
      </c>
      <c r="M244" s="43"/>
      <c r="N244" s="24">
        <f t="shared" si="3"/>
        <v>0</v>
      </c>
      <c r="O244" s="97"/>
    </row>
    <row r="245" spans="1:15" x14ac:dyDescent="0.25">
      <c r="A245" s="104">
        <v>449816</v>
      </c>
      <c r="B245" s="4" t="s">
        <v>833</v>
      </c>
      <c r="C245" s="4" t="s">
        <v>834</v>
      </c>
      <c r="D245" s="75" t="str">
        <f>_xlfn.XLOOKUP(B245,'Product Hierarchy'!A:A,'Product Hierarchy'!C:C)</f>
        <v>LEVEL5</v>
      </c>
      <c r="E245" s="75" t="str">
        <f>_xlfn.XLOOKUP(B245,'Product Hierarchy'!A:A,'Product Hierarchy'!E:E)</f>
        <v>Drywall Hand Tools</v>
      </c>
      <c r="F245" s="75" t="str">
        <f>_xlfn.XLOOKUP(B245,'Product Hierarchy'!A:A,'Product Hierarchy'!F:F)</f>
        <v>Joint Knives</v>
      </c>
      <c r="G245" s="76">
        <v>25.99</v>
      </c>
      <c r="H245" s="76">
        <v>23.39</v>
      </c>
      <c r="I245" s="6">
        <v>16.37</v>
      </c>
      <c r="J245" s="5" t="s">
        <v>26</v>
      </c>
      <c r="K245" s="5">
        <v>4</v>
      </c>
      <c r="L245" s="5">
        <v>48</v>
      </c>
      <c r="M245" s="43"/>
      <c r="N245" s="24">
        <f t="shared" si="3"/>
        <v>0</v>
      </c>
      <c r="O245" s="97"/>
    </row>
    <row r="246" spans="1:15" x14ac:dyDescent="0.25">
      <c r="A246" s="104">
        <v>449817</v>
      </c>
      <c r="B246" s="4" t="s">
        <v>835</v>
      </c>
      <c r="C246" s="4" t="s">
        <v>836</v>
      </c>
      <c r="D246" s="75" t="str">
        <f>_xlfn.XLOOKUP(B246,'Product Hierarchy'!A:A,'Product Hierarchy'!C:C)</f>
        <v>LEVEL5</v>
      </c>
      <c r="E246" s="75" t="str">
        <f>_xlfn.XLOOKUP(B246,'Product Hierarchy'!A:A,'Product Hierarchy'!E:E)</f>
        <v>Drywall Hand Tools</v>
      </c>
      <c r="F246" s="75" t="str">
        <f>_xlfn.XLOOKUP(B246,'Product Hierarchy'!A:A,'Product Hierarchy'!F:F)</f>
        <v>Joint Knives</v>
      </c>
      <c r="G246" s="76">
        <v>26.99</v>
      </c>
      <c r="H246" s="76">
        <v>24.29</v>
      </c>
      <c r="I246" s="6">
        <v>17</v>
      </c>
      <c r="J246" s="5" t="s">
        <v>26</v>
      </c>
      <c r="K246" s="5">
        <v>4</v>
      </c>
      <c r="L246" s="5">
        <v>48</v>
      </c>
      <c r="M246" s="43"/>
      <c r="N246" s="24">
        <f t="shared" si="3"/>
        <v>0</v>
      </c>
      <c r="O246" s="97"/>
    </row>
    <row r="247" spans="1:15" x14ac:dyDescent="0.25">
      <c r="A247" s="104">
        <v>449825</v>
      </c>
      <c r="B247" s="4" t="s">
        <v>1710</v>
      </c>
      <c r="C247" s="4" t="s">
        <v>3897</v>
      </c>
      <c r="D247" s="75" t="str">
        <f>_xlfn.XLOOKUP(B247,'Product Hierarchy'!A:A,'Product Hierarchy'!C:C)</f>
        <v>LEVEL5</v>
      </c>
      <c r="E247" s="75" t="str">
        <f>_xlfn.XLOOKUP(B247,'Product Hierarchy'!A:A,'Product Hierarchy'!E:E)</f>
        <v>Drywall Semi Auto Tools</v>
      </c>
      <c r="F247" s="75" t="str">
        <f>_xlfn.XLOOKUP(B247,'Product Hierarchy'!A:A,'Product Hierarchy'!F:F)</f>
        <v>Skimming Blade Sets</v>
      </c>
      <c r="G247" s="76">
        <v>185.97</v>
      </c>
      <c r="H247" s="76">
        <v>158.07</v>
      </c>
      <c r="I247" s="6">
        <v>110.65</v>
      </c>
      <c r="J247" s="5" t="s">
        <v>26</v>
      </c>
      <c r="K247" s="5">
        <v>1</v>
      </c>
      <c r="L247" s="5">
        <v>1</v>
      </c>
      <c r="M247" s="45"/>
      <c r="N247" s="24">
        <f t="shared" si="3"/>
        <v>0</v>
      </c>
      <c r="O247" s="97"/>
    </row>
    <row r="248" spans="1:15" x14ac:dyDescent="0.25">
      <c r="A248" s="104">
        <v>449851</v>
      </c>
      <c r="B248" s="4" t="s">
        <v>315</v>
      </c>
      <c r="C248" s="75" t="s">
        <v>316</v>
      </c>
      <c r="D248" s="75" t="str">
        <f>_xlfn.XLOOKUP(B248,'Product Hierarchy'!A:A,'Product Hierarchy'!C:C)</f>
        <v>LEVEL5</v>
      </c>
      <c r="E248" s="75" t="str">
        <f>_xlfn.XLOOKUP(B248,'Product Hierarchy'!A:A,'Product Hierarchy'!E:E)</f>
        <v>Drywall Semi Auto Tools</v>
      </c>
      <c r="F248" s="75" t="str">
        <f>_xlfn.XLOOKUP(B248,'Product Hierarchy'!A:A,'Product Hierarchy'!F:F)</f>
        <v>Skimming Blade Sets</v>
      </c>
      <c r="G248" s="76">
        <v>419.95000000000005</v>
      </c>
      <c r="H248" s="76">
        <v>356.96</v>
      </c>
      <c r="I248" s="6">
        <v>249.87</v>
      </c>
      <c r="J248" s="5" t="s">
        <v>26</v>
      </c>
      <c r="K248" s="5">
        <v>1</v>
      </c>
      <c r="L248" s="5">
        <v>1</v>
      </c>
      <c r="M248" s="45"/>
      <c r="N248" s="24">
        <f t="shared" si="3"/>
        <v>0</v>
      </c>
      <c r="O248" s="97"/>
    </row>
    <row r="249" spans="1:15" x14ac:dyDescent="0.25">
      <c r="A249" s="104">
        <v>449852</v>
      </c>
      <c r="B249" s="4" t="s">
        <v>766</v>
      </c>
      <c r="C249" s="75" t="s">
        <v>767</v>
      </c>
      <c r="D249" s="75" t="str">
        <f>_xlfn.XLOOKUP(B249,'Product Hierarchy'!A:A,'Product Hierarchy'!C:C)</f>
        <v>LEVEL5</v>
      </c>
      <c r="E249" s="75" t="str">
        <f>_xlfn.XLOOKUP(B249,'Product Hierarchy'!A:A,'Product Hierarchy'!E:E)</f>
        <v>Drywall Semi Auto Tools</v>
      </c>
      <c r="F249" s="75" t="str">
        <f>_xlfn.XLOOKUP(B249,'Product Hierarchy'!A:A,'Product Hierarchy'!F:F)</f>
        <v>Skimming Blade Sets</v>
      </c>
      <c r="G249" s="76">
        <v>329.95</v>
      </c>
      <c r="H249" s="76">
        <v>280.45999999999998</v>
      </c>
      <c r="I249" s="6">
        <v>196.32</v>
      </c>
      <c r="J249" s="5" t="s">
        <v>26</v>
      </c>
      <c r="K249" s="5">
        <v>1</v>
      </c>
      <c r="L249" s="5">
        <v>1</v>
      </c>
      <c r="M249" s="45"/>
      <c r="N249" s="24">
        <f t="shared" si="3"/>
        <v>0</v>
      </c>
      <c r="O249" s="97"/>
    </row>
    <row r="250" spans="1:15" x14ac:dyDescent="0.25">
      <c r="A250" s="104">
        <v>449861</v>
      </c>
      <c r="B250" s="4" t="s">
        <v>1712</v>
      </c>
      <c r="C250" s="4" t="s">
        <v>4384</v>
      </c>
      <c r="D250" s="75" t="str">
        <f>_xlfn.XLOOKUP(B250,'Product Hierarchy'!A:A,'Product Hierarchy'!C:C)</f>
        <v>LEVEL5</v>
      </c>
      <c r="E250" s="75" t="str">
        <f>_xlfn.XLOOKUP(B250,'Product Hierarchy'!A:A,'Product Hierarchy'!E:E)</f>
        <v>Drywall Semi Auto Tools</v>
      </c>
      <c r="F250" s="75" t="str">
        <f>_xlfn.XLOOKUP(B250,'Product Hierarchy'!A:A,'Product Hierarchy'!F:F)</f>
        <v>Skimming Blade Sets</v>
      </c>
      <c r="G250" s="76">
        <v>306.97000000000003</v>
      </c>
      <c r="H250" s="76">
        <v>260.92</v>
      </c>
      <c r="I250" s="6">
        <v>182.64</v>
      </c>
      <c r="J250" s="5" t="s">
        <v>26</v>
      </c>
      <c r="K250" s="5">
        <v>1</v>
      </c>
      <c r="L250" s="5">
        <v>1</v>
      </c>
      <c r="M250" s="45"/>
      <c r="N250" s="24">
        <f t="shared" si="3"/>
        <v>0</v>
      </c>
      <c r="O250" s="97"/>
    </row>
    <row r="251" spans="1:15" x14ac:dyDescent="0.25">
      <c r="A251" s="104">
        <v>449862</v>
      </c>
      <c r="B251" s="4" t="s">
        <v>1711</v>
      </c>
      <c r="C251" s="4" t="s">
        <v>3963</v>
      </c>
      <c r="D251" s="75" t="str">
        <f>_xlfn.XLOOKUP(B251,'Product Hierarchy'!A:A,'Product Hierarchy'!C:C)</f>
        <v>LEVEL5</v>
      </c>
      <c r="E251" s="75" t="str">
        <f>_xlfn.XLOOKUP(B251,'Product Hierarchy'!A:A,'Product Hierarchy'!E:E)</f>
        <v>Drywall Semi Auto Tools</v>
      </c>
      <c r="F251" s="75" t="str">
        <f>_xlfn.XLOOKUP(B251,'Product Hierarchy'!A:A,'Product Hierarchy'!F:F)</f>
        <v>Skimming Blade Sets</v>
      </c>
      <c r="G251" s="76">
        <v>223.46999999999997</v>
      </c>
      <c r="H251" s="76">
        <v>189.95</v>
      </c>
      <c r="I251" s="6">
        <v>132.97</v>
      </c>
      <c r="J251" s="5" t="s">
        <v>26</v>
      </c>
      <c r="K251" s="5">
        <v>1</v>
      </c>
      <c r="L251" s="5">
        <v>1</v>
      </c>
      <c r="M251" s="45"/>
      <c r="N251" s="24">
        <f t="shared" si="3"/>
        <v>0</v>
      </c>
      <c r="O251" s="97"/>
    </row>
    <row r="252" spans="1:15" x14ac:dyDescent="0.25">
      <c r="A252" s="104">
        <v>449871</v>
      </c>
      <c r="B252" s="4" t="s">
        <v>637</v>
      </c>
      <c r="C252" s="4" t="s">
        <v>640</v>
      </c>
      <c r="D252" s="75" t="str">
        <f>_xlfn.XLOOKUP(B252,'Product Hierarchy'!A:A,'Product Hierarchy'!C:C)</f>
        <v>LEVEL5</v>
      </c>
      <c r="E252" s="75" t="str">
        <f>_xlfn.XLOOKUP(B252,'Product Hierarchy'!A:A,'Product Hierarchy'!E:E)</f>
        <v>Drywall Hand Tools</v>
      </c>
      <c r="F252" s="75" t="str">
        <f>_xlfn.XLOOKUP(B252,'Product Hierarchy'!A:A,'Product Hierarchy'!F:F)</f>
        <v>Joint Knives</v>
      </c>
      <c r="G252" s="76">
        <v>11.99</v>
      </c>
      <c r="H252" s="76">
        <v>10.79</v>
      </c>
      <c r="I252" s="6">
        <v>7.55</v>
      </c>
      <c r="J252" s="5" t="s">
        <v>26</v>
      </c>
      <c r="K252" s="5">
        <v>4</v>
      </c>
      <c r="L252" s="5">
        <v>48</v>
      </c>
      <c r="M252" s="43"/>
      <c r="N252" s="24">
        <f t="shared" si="3"/>
        <v>0</v>
      </c>
      <c r="O252" s="97"/>
    </row>
    <row r="253" spans="1:15" x14ac:dyDescent="0.25">
      <c r="A253" s="104">
        <v>449872</v>
      </c>
      <c r="B253" s="4" t="s">
        <v>638</v>
      </c>
      <c r="C253" s="4" t="s">
        <v>641</v>
      </c>
      <c r="D253" s="75" t="str">
        <f>_xlfn.XLOOKUP(B253,'Product Hierarchy'!A:A,'Product Hierarchy'!C:C)</f>
        <v>LEVEL5</v>
      </c>
      <c r="E253" s="75" t="str">
        <f>_xlfn.XLOOKUP(B253,'Product Hierarchy'!A:A,'Product Hierarchy'!E:E)</f>
        <v>Drywall Hand Tools</v>
      </c>
      <c r="F253" s="75" t="str">
        <f>_xlfn.XLOOKUP(B253,'Product Hierarchy'!A:A,'Product Hierarchy'!F:F)</f>
        <v>Joint Knives</v>
      </c>
      <c r="G253" s="76">
        <v>12.99</v>
      </c>
      <c r="H253" s="76">
        <v>11.69</v>
      </c>
      <c r="I253" s="6">
        <v>8.18</v>
      </c>
      <c r="J253" s="5" t="s">
        <v>26</v>
      </c>
      <c r="K253" s="5">
        <v>4</v>
      </c>
      <c r="L253" s="5">
        <v>48</v>
      </c>
      <c r="M253" s="43"/>
      <c r="N253" s="24">
        <f t="shared" si="3"/>
        <v>0</v>
      </c>
      <c r="O253" s="97"/>
    </row>
    <row r="254" spans="1:15" x14ac:dyDescent="0.25">
      <c r="A254" s="104">
        <v>449873</v>
      </c>
      <c r="B254" s="4" t="s">
        <v>639</v>
      </c>
      <c r="C254" s="4" t="s">
        <v>642</v>
      </c>
      <c r="D254" s="75" t="str">
        <f>_xlfn.XLOOKUP(B254,'Product Hierarchy'!A:A,'Product Hierarchy'!C:C)</f>
        <v>LEVEL5</v>
      </c>
      <c r="E254" s="75" t="str">
        <f>_xlfn.XLOOKUP(B254,'Product Hierarchy'!A:A,'Product Hierarchy'!E:E)</f>
        <v>Drywall Hand Tools</v>
      </c>
      <c r="F254" s="75" t="str">
        <f>_xlfn.XLOOKUP(B254,'Product Hierarchy'!A:A,'Product Hierarchy'!F:F)</f>
        <v>Joint Knives</v>
      </c>
      <c r="G254" s="76">
        <v>14.49</v>
      </c>
      <c r="H254" s="76">
        <v>13.04</v>
      </c>
      <c r="I254" s="6">
        <v>9.1300000000000008</v>
      </c>
      <c r="J254" s="5" t="s">
        <v>26</v>
      </c>
      <c r="K254" s="5">
        <v>4</v>
      </c>
      <c r="L254" s="5">
        <v>48</v>
      </c>
      <c r="M254" s="43"/>
      <c r="N254" s="24">
        <f t="shared" si="3"/>
        <v>0</v>
      </c>
      <c r="O254" s="97"/>
    </row>
    <row r="255" spans="1:15" x14ac:dyDescent="0.25">
      <c r="A255" s="104">
        <v>449874</v>
      </c>
      <c r="B255" s="4" t="s">
        <v>605</v>
      </c>
      <c r="C255" s="4" t="s">
        <v>606</v>
      </c>
      <c r="D255" s="75" t="str">
        <f>_xlfn.XLOOKUP(B255,'Product Hierarchy'!A:A,'Product Hierarchy'!C:C)</f>
        <v>LEVEL5</v>
      </c>
      <c r="E255" s="75" t="str">
        <f>_xlfn.XLOOKUP(B255,'Product Hierarchy'!A:A,'Product Hierarchy'!E:E)</f>
        <v>Drywall Hand Tools</v>
      </c>
      <c r="F255" s="75" t="str">
        <f>_xlfn.XLOOKUP(B255,'Product Hierarchy'!A:A,'Product Hierarchy'!F:F)</f>
        <v>Taping Knives</v>
      </c>
      <c r="G255" s="76">
        <v>14.49</v>
      </c>
      <c r="H255" s="76">
        <v>13.04</v>
      </c>
      <c r="I255" s="6">
        <v>9.1300000000000008</v>
      </c>
      <c r="J255" s="5" t="s">
        <v>26</v>
      </c>
      <c r="K255" s="5">
        <v>4</v>
      </c>
      <c r="L255" s="5">
        <v>24</v>
      </c>
      <c r="M255" s="43"/>
      <c r="N255" s="24">
        <f t="shared" si="3"/>
        <v>0</v>
      </c>
      <c r="O255" s="97"/>
    </row>
    <row r="256" spans="1:15" x14ac:dyDescent="0.25">
      <c r="A256" s="104">
        <v>449875</v>
      </c>
      <c r="B256" s="4" t="s">
        <v>607</v>
      </c>
      <c r="C256" s="4" t="s">
        <v>608</v>
      </c>
      <c r="D256" s="75" t="str">
        <f>_xlfn.XLOOKUP(B256,'Product Hierarchy'!A:A,'Product Hierarchy'!C:C)</f>
        <v>LEVEL5</v>
      </c>
      <c r="E256" s="75" t="str">
        <f>_xlfn.XLOOKUP(B256,'Product Hierarchy'!A:A,'Product Hierarchy'!E:E)</f>
        <v>Drywall Hand Tools</v>
      </c>
      <c r="F256" s="75" t="str">
        <f>_xlfn.XLOOKUP(B256,'Product Hierarchy'!A:A,'Product Hierarchy'!F:F)</f>
        <v>Taping Knives</v>
      </c>
      <c r="G256" s="76">
        <v>15.49</v>
      </c>
      <c r="H256" s="76">
        <v>13.94</v>
      </c>
      <c r="I256" s="6">
        <v>9.76</v>
      </c>
      <c r="J256" s="5" t="s">
        <v>26</v>
      </c>
      <c r="K256" s="5">
        <v>4</v>
      </c>
      <c r="L256" s="5">
        <v>24</v>
      </c>
      <c r="M256" s="43"/>
      <c r="N256" s="24">
        <f t="shared" si="3"/>
        <v>0</v>
      </c>
      <c r="O256" s="97"/>
    </row>
    <row r="257" spans="1:15" x14ac:dyDescent="0.25">
      <c r="A257" s="104">
        <v>449876</v>
      </c>
      <c r="B257" s="4" t="s">
        <v>609</v>
      </c>
      <c r="C257" s="4" t="s">
        <v>610</v>
      </c>
      <c r="D257" s="75" t="str">
        <f>_xlfn.XLOOKUP(B257,'Product Hierarchy'!A:A,'Product Hierarchy'!C:C)</f>
        <v>LEVEL5</v>
      </c>
      <c r="E257" s="75" t="str">
        <f>_xlfn.XLOOKUP(B257,'Product Hierarchy'!A:A,'Product Hierarchy'!E:E)</f>
        <v>Drywall Hand Tools</v>
      </c>
      <c r="F257" s="75" t="str">
        <f>_xlfn.XLOOKUP(B257,'Product Hierarchy'!A:A,'Product Hierarchy'!F:F)</f>
        <v>Taping Knives</v>
      </c>
      <c r="G257" s="76">
        <v>10.99</v>
      </c>
      <c r="H257" s="76">
        <v>9.89</v>
      </c>
      <c r="I257" s="6">
        <v>6.92</v>
      </c>
      <c r="J257" s="5" t="s">
        <v>26</v>
      </c>
      <c r="K257" s="5">
        <v>4</v>
      </c>
      <c r="L257" s="5">
        <v>24</v>
      </c>
      <c r="M257" s="43"/>
      <c r="N257" s="24">
        <f t="shared" si="3"/>
        <v>0</v>
      </c>
      <c r="O257" s="97"/>
    </row>
    <row r="258" spans="1:15" x14ac:dyDescent="0.25">
      <c r="A258" s="104">
        <v>449877</v>
      </c>
      <c r="B258" s="4" t="s">
        <v>611</v>
      </c>
      <c r="C258" s="4" t="s">
        <v>612</v>
      </c>
      <c r="D258" s="75" t="str">
        <f>_xlfn.XLOOKUP(B258,'Product Hierarchy'!A:A,'Product Hierarchy'!C:C)</f>
        <v>LEVEL5</v>
      </c>
      <c r="E258" s="75" t="str">
        <f>_xlfn.XLOOKUP(B258,'Product Hierarchy'!A:A,'Product Hierarchy'!E:E)</f>
        <v>Drywall Hand Tools</v>
      </c>
      <c r="F258" s="75" t="str">
        <f>_xlfn.XLOOKUP(B258,'Product Hierarchy'!A:A,'Product Hierarchy'!F:F)</f>
        <v>Taping Knives</v>
      </c>
      <c r="G258" s="76">
        <v>11.99</v>
      </c>
      <c r="H258" s="76">
        <v>10.79</v>
      </c>
      <c r="I258" s="6">
        <v>7.55</v>
      </c>
      <c r="J258" s="5" t="s">
        <v>26</v>
      </c>
      <c r="K258" s="5">
        <v>4</v>
      </c>
      <c r="L258" s="5">
        <v>24</v>
      </c>
      <c r="M258" s="43"/>
      <c r="N258" s="24">
        <f t="shared" si="3"/>
        <v>0</v>
      </c>
      <c r="O258" s="97"/>
    </row>
    <row r="259" spans="1:15" x14ac:dyDescent="0.25">
      <c r="A259" s="104">
        <v>449878</v>
      </c>
      <c r="B259" s="4" t="s">
        <v>613</v>
      </c>
      <c r="C259" s="4" t="s">
        <v>614</v>
      </c>
      <c r="D259" s="75" t="str">
        <f>_xlfn.XLOOKUP(B259,'Product Hierarchy'!A:A,'Product Hierarchy'!C:C)</f>
        <v>LEVEL5</v>
      </c>
      <c r="E259" s="75" t="str">
        <f>_xlfn.XLOOKUP(B259,'Product Hierarchy'!A:A,'Product Hierarchy'!E:E)</f>
        <v>Drywall Hand Tools</v>
      </c>
      <c r="F259" s="75" t="str">
        <f>_xlfn.XLOOKUP(B259,'Product Hierarchy'!A:A,'Product Hierarchy'!F:F)</f>
        <v>Taping Knives</v>
      </c>
      <c r="G259" s="76">
        <v>12.99</v>
      </c>
      <c r="H259" s="76">
        <v>11.69</v>
      </c>
      <c r="I259" s="6">
        <v>8.18</v>
      </c>
      <c r="J259" s="5" t="s">
        <v>26</v>
      </c>
      <c r="K259" s="5">
        <v>4</v>
      </c>
      <c r="L259" s="5">
        <v>24</v>
      </c>
      <c r="M259" s="43"/>
      <c r="N259" s="24">
        <f t="shared" si="3"/>
        <v>0</v>
      </c>
      <c r="O259" s="97"/>
    </row>
    <row r="260" spans="1:15" x14ac:dyDescent="0.25">
      <c r="A260" s="104">
        <v>449879</v>
      </c>
      <c r="B260" s="4" t="s">
        <v>1669</v>
      </c>
      <c r="C260" s="4" t="s">
        <v>1670</v>
      </c>
      <c r="D260" s="75" t="str">
        <f>_xlfn.XLOOKUP(B260,'Product Hierarchy'!A:A,'Product Hierarchy'!C:C)</f>
        <v>LEVEL5</v>
      </c>
      <c r="E260" s="75" t="str">
        <f>_xlfn.XLOOKUP(B260,'Product Hierarchy'!A:A,'Product Hierarchy'!E:E)</f>
        <v>Drywall Semi Auto Tools</v>
      </c>
      <c r="F260" s="75" t="str">
        <f>_xlfn.XLOOKUP(B260,'Product Hierarchy'!A:A,'Product Hierarchy'!F:F)</f>
        <v>Skimming Blade Sets</v>
      </c>
      <c r="G260" s="76">
        <v>639.41999999999996</v>
      </c>
      <c r="H260" s="76">
        <v>543.51</v>
      </c>
      <c r="I260" s="6">
        <v>380.46</v>
      </c>
      <c r="J260" s="5" t="s">
        <v>26</v>
      </c>
      <c r="K260" s="5">
        <v>1</v>
      </c>
      <c r="L260" s="5">
        <v>1</v>
      </c>
      <c r="M260" s="45"/>
      <c r="N260" s="24">
        <f t="shared" si="3"/>
        <v>0</v>
      </c>
      <c r="O260" s="97"/>
    </row>
    <row r="261" spans="1:15" x14ac:dyDescent="0.25">
      <c r="A261" s="104">
        <v>450474</v>
      </c>
      <c r="B261" s="4" t="s">
        <v>309</v>
      </c>
      <c r="C261" s="4" t="s">
        <v>310</v>
      </c>
      <c r="D261" s="75" t="str">
        <f>_xlfn.XLOOKUP(B261,'Product Hierarchy'!A:A,'Product Hierarchy'!C:C)</f>
        <v>LEVEL5</v>
      </c>
      <c r="E261" s="75" t="str">
        <f>_xlfn.XLOOKUP(B261,'Product Hierarchy'!A:A,'Product Hierarchy'!E:E)</f>
        <v>Drywall Hand Tools</v>
      </c>
      <c r="F261" s="75" t="str">
        <f>_xlfn.XLOOKUP(B261,'Product Hierarchy'!A:A,'Product Hierarchy'!F:F)</f>
        <v>Hand Tool Sets</v>
      </c>
      <c r="G261" s="76">
        <v>99.449999999999989</v>
      </c>
      <c r="H261" s="76">
        <v>84.53</v>
      </c>
      <c r="I261" s="6">
        <v>59.17</v>
      </c>
      <c r="J261" s="5" t="s">
        <v>26</v>
      </c>
      <c r="K261" s="5">
        <v>1</v>
      </c>
      <c r="L261" s="5">
        <v>6</v>
      </c>
      <c r="M261" s="45"/>
      <c r="N261" s="24">
        <f t="shared" si="3"/>
        <v>0</v>
      </c>
      <c r="O261" s="97"/>
    </row>
    <row r="262" spans="1:15" x14ac:dyDescent="0.25">
      <c r="A262" s="104">
        <v>450475</v>
      </c>
      <c r="B262" s="4" t="s">
        <v>625</v>
      </c>
      <c r="C262" s="4" t="s">
        <v>626</v>
      </c>
      <c r="D262" s="75" t="str">
        <f>_xlfn.XLOOKUP(B262,'Product Hierarchy'!A:A,'Product Hierarchy'!C:C)</f>
        <v>LEVEL5</v>
      </c>
      <c r="E262" s="75" t="str">
        <f>_xlfn.XLOOKUP(B262,'Product Hierarchy'!A:A,'Product Hierarchy'!E:E)</f>
        <v>Drywall Hand Tools</v>
      </c>
      <c r="F262" s="75" t="str">
        <f>_xlfn.XLOOKUP(B262,'Product Hierarchy'!A:A,'Product Hierarchy'!F:F)</f>
        <v>Hand Tool Sets</v>
      </c>
      <c r="G262" s="76">
        <v>82.449999999999989</v>
      </c>
      <c r="H262" s="76">
        <v>70.08</v>
      </c>
      <c r="I262" s="6">
        <v>49.06</v>
      </c>
      <c r="J262" s="5" t="s">
        <v>26</v>
      </c>
      <c r="K262" s="5">
        <v>1</v>
      </c>
      <c r="L262" s="5">
        <v>10</v>
      </c>
      <c r="M262" s="45"/>
      <c r="N262" s="24">
        <f t="shared" si="3"/>
        <v>0</v>
      </c>
      <c r="O262" s="97"/>
    </row>
    <row r="263" spans="1:15" x14ac:dyDescent="0.25">
      <c r="A263" s="104">
        <v>449886</v>
      </c>
      <c r="B263" s="4" t="s">
        <v>311</v>
      </c>
      <c r="C263" s="4" t="s">
        <v>312</v>
      </c>
      <c r="D263" s="75" t="str">
        <f>_xlfn.XLOOKUP(B263,'Product Hierarchy'!A:A,'Product Hierarchy'!C:C)</f>
        <v>LEVEL5</v>
      </c>
      <c r="E263" s="75" t="str">
        <f>_xlfn.XLOOKUP(B263,'Product Hierarchy'!A:A,'Product Hierarchy'!E:E)</f>
        <v>Drywall Hand Tools</v>
      </c>
      <c r="F263" s="75" t="str">
        <f>_xlfn.XLOOKUP(B263,'Product Hierarchy'!A:A,'Product Hierarchy'!F:F)</f>
        <v>Hand Tool Sets</v>
      </c>
      <c r="G263" s="76">
        <v>270.36</v>
      </c>
      <c r="H263" s="76">
        <v>229.81</v>
      </c>
      <c r="I263" s="6">
        <v>160.87</v>
      </c>
      <c r="J263" s="5" t="s">
        <v>26</v>
      </c>
      <c r="K263" s="5">
        <v>1</v>
      </c>
      <c r="L263" s="5">
        <v>6</v>
      </c>
      <c r="M263" s="45"/>
      <c r="N263" s="24">
        <f t="shared" si="3"/>
        <v>0</v>
      </c>
      <c r="O263" s="97"/>
    </row>
    <row r="264" spans="1:15" x14ac:dyDescent="0.25">
      <c r="A264" s="104">
        <v>449888</v>
      </c>
      <c r="B264" s="4" t="s">
        <v>313</v>
      </c>
      <c r="C264" s="4" t="s">
        <v>314</v>
      </c>
      <c r="D264" s="75" t="str">
        <f>_xlfn.XLOOKUP(B264,'Product Hierarchy'!A:A,'Product Hierarchy'!C:C)</f>
        <v>LEVEL5</v>
      </c>
      <c r="E264" s="75" t="str">
        <f>_xlfn.XLOOKUP(B264,'Product Hierarchy'!A:A,'Product Hierarchy'!E:E)</f>
        <v>Drywall Hand Tools</v>
      </c>
      <c r="F264" s="75" t="str">
        <f>_xlfn.XLOOKUP(B264,'Product Hierarchy'!A:A,'Product Hierarchy'!F:F)</f>
        <v>Hand Tool Sets</v>
      </c>
      <c r="G264" s="76">
        <v>58.97</v>
      </c>
      <c r="H264" s="76">
        <v>50.12</v>
      </c>
      <c r="I264" s="6">
        <v>35.08</v>
      </c>
      <c r="J264" s="5" t="s">
        <v>26</v>
      </c>
      <c r="K264" s="5">
        <v>1</v>
      </c>
      <c r="L264" s="5">
        <v>10</v>
      </c>
      <c r="M264" s="45"/>
      <c r="N264" s="24">
        <f t="shared" si="3"/>
        <v>0</v>
      </c>
      <c r="O264" s="97"/>
    </row>
    <row r="265" spans="1:15" x14ac:dyDescent="0.25">
      <c r="A265" s="104">
        <v>449889</v>
      </c>
      <c r="B265" s="4" t="s">
        <v>631</v>
      </c>
      <c r="C265" s="4" t="s">
        <v>632</v>
      </c>
      <c r="D265" s="75" t="str">
        <f>_xlfn.XLOOKUP(B265,'Product Hierarchy'!A:A,'Product Hierarchy'!C:C)</f>
        <v>LEVEL5</v>
      </c>
      <c r="E265" s="75" t="str">
        <f>_xlfn.XLOOKUP(B265,'Product Hierarchy'!A:A,'Product Hierarchy'!E:E)</f>
        <v>Drywall Hand Tools</v>
      </c>
      <c r="F265" s="75" t="str">
        <f>_xlfn.XLOOKUP(B265,'Product Hierarchy'!A:A,'Product Hierarchy'!F:F)</f>
        <v>Hand Tool Sets</v>
      </c>
      <c r="G265" s="76">
        <v>49.47</v>
      </c>
      <c r="H265" s="76">
        <v>42.05</v>
      </c>
      <c r="I265" s="6">
        <v>29.44</v>
      </c>
      <c r="J265" s="5" t="s">
        <v>26</v>
      </c>
      <c r="K265" s="5">
        <v>1</v>
      </c>
      <c r="L265" s="5">
        <v>12</v>
      </c>
      <c r="M265" s="45"/>
      <c r="N265" s="24">
        <f t="shared" si="3"/>
        <v>0</v>
      </c>
      <c r="O265" s="97"/>
    </row>
    <row r="266" spans="1:15" x14ac:dyDescent="0.25">
      <c r="A266" s="104">
        <v>449895</v>
      </c>
      <c r="B266" s="4" t="s">
        <v>635</v>
      </c>
      <c r="C266" s="4" t="s">
        <v>636</v>
      </c>
      <c r="D266" s="75" t="str">
        <f>_xlfn.XLOOKUP(B266,'Product Hierarchy'!A:A,'Product Hierarchy'!C:C)</f>
        <v>LEVEL5</v>
      </c>
      <c r="E266" s="75" t="str">
        <f>_xlfn.XLOOKUP(B266,'Product Hierarchy'!A:A,'Product Hierarchy'!E:E)</f>
        <v>Drywall Hand Tools</v>
      </c>
      <c r="F266" s="75" t="str">
        <f>_xlfn.XLOOKUP(B266,'Product Hierarchy'!A:A,'Product Hierarchy'!F:F)</f>
        <v>Hand Tool Sets</v>
      </c>
      <c r="G266" s="76">
        <v>47.49</v>
      </c>
      <c r="H266" s="76">
        <v>40.369999999999997</v>
      </c>
      <c r="I266" s="6">
        <v>28.26</v>
      </c>
      <c r="J266" s="5" t="s">
        <v>26</v>
      </c>
      <c r="K266" s="5">
        <v>4</v>
      </c>
      <c r="L266" s="5">
        <v>40</v>
      </c>
      <c r="M266" s="45"/>
      <c r="N266" s="24">
        <f t="shared" si="3"/>
        <v>0</v>
      </c>
      <c r="O266" s="97"/>
    </row>
    <row r="267" spans="1:15" x14ac:dyDescent="0.25">
      <c r="A267" s="104">
        <v>449896</v>
      </c>
      <c r="B267" s="4" t="s">
        <v>796</v>
      </c>
      <c r="C267" s="4" t="s">
        <v>797</v>
      </c>
      <c r="D267" s="75" t="str">
        <f>_xlfn.XLOOKUP(B267,'Product Hierarchy'!A:A,'Product Hierarchy'!C:C)</f>
        <v>LEVEL5</v>
      </c>
      <c r="E267" s="75" t="str">
        <f>_xlfn.XLOOKUP(B267,'Product Hierarchy'!A:A,'Product Hierarchy'!E:E)</f>
        <v>Drywall Hand Tools</v>
      </c>
      <c r="F267" s="75" t="str">
        <f>_xlfn.XLOOKUP(B267,'Product Hierarchy'!A:A,'Product Hierarchy'!F:F)</f>
        <v>Hand Tool Sets</v>
      </c>
      <c r="G267" s="76">
        <v>62.47</v>
      </c>
      <c r="H267" s="76">
        <v>53.1</v>
      </c>
      <c r="I267" s="6">
        <v>37.17</v>
      </c>
      <c r="J267" s="5" t="s">
        <v>26</v>
      </c>
      <c r="K267" s="5">
        <v>4</v>
      </c>
      <c r="L267" s="5">
        <v>40</v>
      </c>
      <c r="M267" s="45"/>
      <c r="N267" s="24">
        <f t="shared" si="3"/>
        <v>0</v>
      </c>
      <c r="O267" s="97"/>
    </row>
    <row r="268" spans="1:15" x14ac:dyDescent="0.25">
      <c r="A268" s="104">
        <v>449898</v>
      </c>
      <c r="B268" s="4" t="s">
        <v>1714</v>
      </c>
      <c r="C268" s="4" t="s">
        <v>3117</v>
      </c>
      <c r="D268" s="75" t="str">
        <f>_xlfn.XLOOKUP(B268,'Product Hierarchy'!A:A,'Product Hierarchy'!C:C)</f>
        <v>LEVEL5</v>
      </c>
      <c r="E268" s="75" t="str">
        <f>_xlfn.XLOOKUP(B268,'Product Hierarchy'!A:A,'Product Hierarchy'!E:E)</f>
        <v>Drywall Hand Tools</v>
      </c>
      <c r="F268" s="75" t="str">
        <f>_xlfn.XLOOKUP(B268,'Product Hierarchy'!A:A,'Product Hierarchy'!F:F)</f>
        <v>Hand Tool Sets</v>
      </c>
      <c r="G268" s="76">
        <v>383.84000000000003</v>
      </c>
      <c r="H268" s="76">
        <v>326.26</v>
      </c>
      <c r="I268" s="6">
        <v>228.38</v>
      </c>
      <c r="J268" s="5" t="s">
        <v>26</v>
      </c>
      <c r="K268" s="5">
        <v>1</v>
      </c>
      <c r="L268" s="5">
        <v>1</v>
      </c>
      <c r="M268" s="45"/>
      <c r="N268" s="24">
        <f t="shared" si="3"/>
        <v>0</v>
      </c>
      <c r="O268" s="97"/>
    </row>
    <row r="269" spans="1:15" x14ac:dyDescent="0.25">
      <c r="A269" s="104">
        <v>449899</v>
      </c>
      <c r="B269" s="4" t="s">
        <v>1715</v>
      </c>
      <c r="C269" s="4" t="s">
        <v>3118</v>
      </c>
      <c r="D269" s="75" t="str">
        <f>_xlfn.XLOOKUP(B269,'Product Hierarchy'!A:A,'Product Hierarchy'!C:C)</f>
        <v>LEVEL5</v>
      </c>
      <c r="E269" s="75" t="str">
        <f>_xlfn.XLOOKUP(B269,'Product Hierarchy'!A:A,'Product Hierarchy'!E:E)</f>
        <v>Drywall Hand Tools</v>
      </c>
      <c r="F269" s="75" t="str">
        <f>_xlfn.XLOOKUP(B269,'Product Hierarchy'!A:A,'Product Hierarchy'!F:F)</f>
        <v>Hand Tool Sets</v>
      </c>
      <c r="G269" s="76">
        <v>289.88000000000005</v>
      </c>
      <c r="H269" s="76">
        <v>246.4</v>
      </c>
      <c r="I269" s="6">
        <v>172.48</v>
      </c>
      <c r="J269" s="5" t="s">
        <v>26</v>
      </c>
      <c r="K269" s="5">
        <v>1</v>
      </c>
      <c r="L269" s="5">
        <v>1</v>
      </c>
      <c r="M269" s="45"/>
      <c r="N269" s="24">
        <f t="shared" si="3"/>
        <v>0</v>
      </c>
      <c r="O269" s="97"/>
    </row>
    <row r="270" spans="1:15" x14ac:dyDescent="0.25">
      <c r="A270" s="104">
        <v>449900</v>
      </c>
      <c r="B270" s="4" t="s">
        <v>1716</v>
      </c>
      <c r="C270" s="4" t="s">
        <v>3119</v>
      </c>
      <c r="D270" s="75" t="str">
        <f>_xlfn.XLOOKUP(B270,'Product Hierarchy'!A:A,'Product Hierarchy'!C:C)</f>
        <v>LEVEL5</v>
      </c>
      <c r="E270" s="75" t="str">
        <f>_xlfn.XLOOKUP(B270,'Product Hierarchy'!A:A,'Product Hierarchy'!E:E)</f>
        <v>Drywall Hand Tools</v>
      </c>
      <c r="F270" s="75" t="str">
        <f>_xlfn.XLOOKUP(B270,'Product Hierarchy'!A:A,'Product Hierarchy'!F:F)</f>
        <v>Hand Tool Sets</v>
      </c>
      <c r="G270" s="76">
        <v>434.82000000000005</v>
      </c>
      <c r="H270" s="76">
        <v>369.6</v>
      </c>
      <c r="I270" s="6">
        <v>258.72000000000003</v>
      </c>
      <c r="J270" s="5" t="s">
        <v>26</v>
      </c>
      <c r="K270" s="5">
        <v>1</v>
      </c>
      <c r="L270" s="5">
        <v>1</v>
      </c>
      <c r="M270" s="45"/>
      <c r="N270" s="24">
        <f t="shared" ref="N270:N272" si="5">M270*I270</f>
        <v>0</v>
      </c>
      <c r="O270" s="97"/>
    </row>
    <row r="271" spans="1:15" x14ac:dyDescent="0.25">
      <c r="A271" s="104">
        <v>449901</v>
      </c>
      <c r="B271" s="4" t="s">
        <v>1713</v>
      </c>
      <c r="C271" s="4" t="s">
        <v>3120</v>
      </c>
      <c r="D271" s="75" t="str">
        <f>_xlfn.XLOOKUP(B271,'Product Hierarchy'!A:A,'Product Hierarchy'!C:C)</f>
        <v>LEVEL5</v>
      </c>
      <c r="E271" s="75" t="str">
        <f>_xlfn.XLOOKUP(B271,'Product Hierarchy'!A:A,'Product Hierarchy'!E:E)</f>
        <v>Drywall Hand Tools</v>
      </c>
      <c r="F271" s="75" t="str">
        <f>_xlfn.XLOOKUP(B271,'Product Hierarchy'!A:A,'Product Hierarchy'!F:F)</f>
        <v>Hand Tool Sets</v>
      </c>
      <c r="G271" s="76">
        <v>662.29000000000008</v>
      </c>
      <c r="H271" s="76">
        <v>562.95000000000005</v>
      </c>
      <c r="I271" s="6">
        <v>394.07</v>
      </c>
      <c r="J271" s="5" t="s">
        <v>26</v>
      </c>
      <c r="K271" s="5">
        <v>1</v>
      </c>
      <c r="L271" s="5">
        <v>1</v>
      </c>
      <c r="M271" s="45"/>
      <c r="N271" s="24">
        <f t="shared" si="5"/>
        <v>0</v>
      </c>
      <c r="O271" s="97"/>
    </row>
    <row r="272" spans="1:15" ht="15.75" thickBot="1" x14ac:dyDescent="0.3">
      <c r="A272" s="104">
        <v>449992</v>
      </c>
      <c r="B272" s="4" t="s">
        <v>1483</v>
      </c>
      <c r="C272" s="4" t="s">
        <v>719</v>
      </c>
      <c r="D272" s="75" t="str">
        <f>_xlfn.XLOOKUP(B272,'Product Hierarchy'!A:A,'Product Hierarchy'!C:C)</f>
        <v>LEVEL5</v>
      </c>
      <c r="E272" s="75" t="str">
        <f>_xlfn.XLOOKUP(B272,'Product Hierarchy'!A:A,'Product Hierarchy'!E:E)</f>
        <v>Drywall Hand Tools</v>
      </c>
      <c r="F272" s="75" t="str">
        <f>_xlfn.XLOOKUP(B272,'Product Hierarchy'!A:A,'Product Hierarchy'!F:F)</f>
        <v>Mud Pans</v>
      </c>
      <c r="G272" s="76">
        <v>24.99</v>
      </c>
      <c r="H272" s="76">
        <v>22.49</v>
      </c>
      <c r="I272" s="6">
        <v>15.74</v>
      </c>
      <c r="J272" s="5" t="s">
        <v>26</v>
      </c>
      <c r="K272" s="5">
        <v>6</v>
      </c>
      <c r="L272" s="5">
        <v>12</v>
      </c>
      <c r="M272" s="43"/>
      <c r="N272" s="24">
        <f t="shared" si="5"/>
        <v>0</v>
      </c>
      <c r="O272" s="97"/>
    </row>
    <row r="273" spans="1:15" ht="15.75" thickBot="1" x14ac:dyDescent="0.3">
      <c r="A273" s="20"/>
      <c r="B273" s="21"/>
      <c r="C273" s="21"/>
      <c r="D273" s="21"/>
      <c r="E273" s="21"/>
      <c r="F273" s="21"/>
      <c r="G273" s="21"/>
      <c r="H273" s="21"/>
      <c r="I273" s="21"/>
      <c r="J273" s="12" t="s">
        <v>1704</v>
      </c>
      <c r="K273" s="12"/>
      <c r="L273" s="12"/>
      <c r="M273" s="58">
        <f>SUM(M11:M272)</f>
        <v>0</v>
      </c>
      <c r="N273" s="13">
        <f>SUM(N11:N272)</f>
        <v>0</v>
      </c>
      <c r="O273"/>
    </row>
    <row r="274" spans="1:15" ht="22.5" customHeight="1" x14ac:dyDescent="0.25">
      <c r="A274" s="16"/>
      <c r="B274" s="16"/>
      <c r="C274" s="16"/>
      <c r="D274" s="16"/>
      <c r="E274" s="16"/>
      <c r="F274" s="16"/>
      <c r="G274" s="16"/>
      <c r="H274" s="17"/>
      <c r="I274" s="18"/>
      <c r="J274" s="18"/>
      <c r="K274" s="18"/>
      <c r="M274" s="19"/>
    </row>
  </sheetData>
  <sheetProtection algorithmName="SHA-512" hashValue="S6QVH0nv8esf8yGvwSRnix8s/UeJumpiRVM4bOhoyXE/7CQMEhzemYPAL//HQxiKcuOuRpvWfhO0sxgxStJ0Wg==" saltValue="rpPX/MFPdKPIj+V7e9KFQw==" spinCount="100000" sheet="1" selectLockedCells="1"/>
  <autoFilter ref="B10:N273" xr:uid="{AFE9EEDC-62D4-4BCA-B08E-8BA4330E9F08}">
    <sortState xmlns:xlrd2="http://schemas.microsoft.com/office/spreadsheetml/2017/richdata2" ref="B11:N273">
      <sortCondition ref="B10:B273"/>
    </sortState>
  </autoFilter>
  <sortState xmlns:xlrd2="http://schemas.microsoft.com/office/spreadsheetml/2017/richdata2" ref="B11:N272">
    <sortCondition ref="D11:D272"/>
    <sortCondition ref="E11:E272"/>
    <sortCondition ref="F11:F272"/>
    <sortCondition ref="B11:B272"/>
  </sortState>
  <mergeCells count="3">
    <mergeCell ref="A7:D7"/>
    <mergeCell ref="A5:C5"/>
    <mergeCell ref="A6:C6"/>
  </mergeCells>
  <conditionalFormatting sqref="M11:M185">
    <cfRule type="expression" dxfId="2" priority="21">
      <formula>MOD(M11,K11)&lt;&gt;0</formula>
    </cfRule>
  </conditionalFormatting>
  <pageMargins left="0.7" right="0.7" top="0.75" bottom="0.75" header="0.3" footer="0.3"/>
  <pageSetup scale="64" fitToHeight="0" orientation="portrait" r:id="rId1"/>
  <headerFooter>
    <oddFooter>&amp;C&amp;P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CACD-CBB9-433F-93F4-E22A430DEAEE}">
  <sheetPr>
    <pageSetUpPr fitToPage="1"/>
  </sheetPr>
  <dimension ref="A1:O213"/>
  <sheetViews>
    <sheetView workbookViewId="0">
      <pane ySplit="10" topLeftCell="A11" activePane="bottomLeft" state="frozen"/>
      <selection pane="bottomLeft" activeCell="M11" sqref="M11"/>
    </sheetView>
  </sheetViews>
  <sheetFormatPr defaultColWidth="8.7109375" defaultRowHeight="15" x14ac:dyDescent="0.25"/>
  <cols>
    <col min="1" max="2" width="10.140625" customWidth="1"/>
    <col min="3" max="3" width="39.7109375" bestFit="1" customWidth="1"/>
    <col min="4" max="4" width="7.42578125" bestFit="1" customWidth="1"/>
    <col min="5" max="5" width="20.140625" bestFit="1" customWidth="1"/>
    <col min="6" max="6" width="18.85546875" bestFit="1" customWidth="1"/>
    <col min="7" max="7" width="9.7109375" bestFit="1" customWidth="1"/>
    <col min="8" max="8" width="11.140625" bestFit="1" customWidth="1"/>
    <col min="9" max="9" width="13.7109375" bestFit="1" customWidth="1"/>
    <col min="10" max="10" width="14.140625" bestFit="1" customWidth="1"/>
    <col min="11" max="11" width="11.7109375" customWidth="1"/>
    <col min="12" max="12" width="11" customWidth="1"/>
    <col min="13" max="13" width="13" customWidth="1"/>
    <col min="14" max="14" width="17.42578125" customWidth="1"/>
    <col min="15" max="15" width="10.5703125" style="90" bestFit="1" customWidth="1"/>
  </cols>
  <sheetData>
    <row r="1" spans="1:15" x14ac:dyDescent="0.25">
      <c r="A1" s="25"/>
      <c r="B1" s="25"/>
      <c r="C1" s="25"/>
      <c r="D1" s="25"/>
      <c r="E1" s="25"/>
      <c r="F1" s="26"/>
      <c r="G1" s="29"/>
      <c r="H1" s="29" t="s">
        <v>17</v>
      </c>
      <c r="I1" s="25"/>
      <c r="J1" s="25"/>
      <c r="K1" s="25"/>
      <c r="L1" s="25"/>
      <c r="M1" s="25"/>
      <c r="N1" s="25"/>
    </row>
    <row r="2" spans="1:15" ht="3.75" customHeight="1" x14ac:dyDescent="0.25">
      <c r="A2" s="25"/>
      <c r="B2" s="27"/>
      <c r="C2" s="27"/>
      <c r="D2" s="27"/>
      <c r="E2" s="27"/>
      <c r="F2" s="27"/>
      <c r="G2" s="27"/>
      <c r="H2" s="25"/>
      <c r="I2" s="27"/>
      <c r="J2" s="25"/>
      <c r="K2" s="25"/>
      <c r="L2" s="25"/>
      <c r="M2" s="25"/>
      <c r="N2" s="25"/>
    </row>
    <row r="3" spans="1:15" ht="15" customHeight="1" x14ac:dyDescent="0.25">
      <c r="A3" s="28" t="s">
        <v>0</v>
      </c>
      <c r="B3" s="105"/>
      <c r="C3" s="31">
        <f>'Order Summary'!B3</f>
        <v>0</v>
      </c>
      <c r="D3" s="79"/>
      <c r="E3" s="79"/>
      <c r="F3" s="26"/>
      <c r="G3" s="26"/>
      <c r="H3" s="29"/>
      <c r="I3" s="79"/>
      <c r="J3" s="28" t="s">
        <v>1</v>
      </c>
      <c r="K3" s="28"/>
      <c r="L3" s="28"/>
      <c r="M3" s="28"/>
      <c r="N3" s="102">
        <f>'Order Summary'!$F3</f>
        <v>0</v>
      </c>
    </row>
    <row r="4" spans="1:15" x14ac:dyDescent="0.25">
      <c r="A4" s="30" t="s">
        <v>2</v>
      </c>
      <c r="B4" s="105"/>
      <c r="C4" s="33">
        <f>'Order Summary'!B4</f>
        <v>0</v>
      </c>
      <c r="D4" s="79"/>
      <c r="E4" s="79"/>
      <c r="F4" s="26"/>
      <c r="G4" s="26"/>
      <c r="H4" s="29"/>
      <c r="I4" s="79"/>
      <c r="J4" s="28" t="s">
        <v>3</v>
      </c>
      <c r="K4" s="28"/>
      <c r="L4" s="28"/>
      <c r="M4" s="28"/>
      <c r="N4" s="101">
        <f>'Order Summary'!$F4</f>
        <v>0</v>
      </c>
    </row>
    <row r="5" spans="1:15" x14ac:dyDescent="0.25">
      <c r="A5" s="108">
        <f>'Order Summary'!B5</f>
        <v>0</v>
      </c>
      <c r="B5" s="108"/>
      <c r="C5" s="108"/>
      <c r="D5" s="79"/>
      <c r="E5" s="79"/>
      <c r="F5" s="26"/>
      <c r="G5" s="26"/>
      <c r="H5" s="25"/>
      <c r="I5" s="79"/>
      <c r="J5" s="28" t="s">
        <v>4</v>
      </c>
      <c r="K5" s="28"/>
      <c r="L5" s="28"/>
      <c r="M5" s="28"/>
      <c r="N5" s="103">
        <f>'Order Summary'!$F5</f>
        <v>0</v>
      </c>
    </row>
    <row r="6" spans="1:15" x14ac:dyDescent="0.25">
      <c r="A6" s="108">
        <f>'Order Summary'!B6</f>
        <v>0</v>
      </c>
      <c r="B6" s="108"/>
      <c r="C6" s="108"/>
      <c r="D6" s="79"/>
      <c r="E6" s="79"/>
      <c r="F6" s="26"/>
      <c r="G6" s="26"/>
      <c r="H6" s="25"/>
      <c r="I6" s="79"/>
      <c r="J6" s="28" t="s">
        <v>5</v>
      </c>
      <c r="K6" s="28"/>
      <c r="L6" s="28"/>
      <c r="M6" s="28"/>
      <c r="N6" s="33">
        <f>'Order Summary'!$F6</f>
        <v>0</v>
      </c>
    </row>
    <row r="7" spans="1:15" ht="46.5" customHeight="1" x14ac:dyDescent="0.25">
      <c r="A7" s="107" t="s">
        <v>18</v>
      </c>
      <c r="B7" s="107"/>
      <c r="C7" s="107"/>
      <c r="D7" s="107"/>
      <c r="E7" s="32"/>
    </row>
    <row r="8" spans="1:15" ht="22.5" customHeight="1" x14ac:dyDescent="0.25">
      <c r="A8" s="16"/>
      <c r="B8" s="16"/>
      <c r="C8" s="16"/>
      <c r="D8" s="16"/>
      <c r="E8" s="16"/>
      <c r="F8" s="16"/>
      <c r="G8" s="16"/>
      <c r="H8" s="17"/>
      <c r="I8" s="18"/>
      <c r="J8" s="18"/>
      <c r="K8" s="18"/>
      <c r="M8" s="19"/>
    </row>
    <row r="9" spans="1:15" x14ac:dyDescent="0.25">
      <c r="A9" s="16"/>
      <c r="B9" s="16"/>
      <c r="C9" s="16"/>
      <c r="D9" s="16"/>
      <c r="E9" s="16"/>
      <c r="F9" s="16"/>
      <c r="G9" s="16"/>
      <c r="H9" s="17"/>
      <c r="I9" s="18"/>
      <c r="J9" s="18"/>
      <c r="K9" s="18"/>
      <c r="M9" s="19"/>
    </row>
    <row r="10" spans="1:15" x14ac:dyDescent="0.25">
      <c r="A10" s="116" t="s">
        <v>19</v>
      </c>
      <c r="B10" s="116" t="s">
        <v>4385</v>
      </c>
      <c r="C10" s="1" t="s">
        <v>20</v>
      </c>
      <c r="D10" s="1" t="s">
        <v>918</v>
      </c>
      <c r="E10" s="1" t="s">
        <v>919</v>
      </c>
      <c r="F10" s="1" t="s">
        <v>920</v>
      </c>
      <c r="G10" s="2" t="s">
        <v>21</v>
      </c>
      <c r="H10" s="2" t="s">
        <v>1717</v>
      </c>
      <c r="I10" s="3" t="s">
        <v>22</v>
      </c>
      <c r="J10" s="2" t="s">
        <v>23</v>
      </c>
      <c r="K10" s="2" t="s">
        <v>24</v>
      </c>
      <c r="L10" s="2" t="s">
        <v>4380</v>
      </c>
      <c r="M10" s="2" t="s">
        <v>6</v>
      </c>
      <c r="N10" s="2" t="s">
        <v>7</v>
      </c>
      <c r="O10"/>
    </row>
    <row r="11" spans="1:15" x14ac:dyDescent="0.25">
      <c r="A11" s="104">
        <v>450016</v>
      </c>
      <c r="B11" s="4" t="s">
        <v>112</v>
      </c>
      <c r="C11" s="4" t="s">
        <v>1547</v>
      </c>
      <c r="D11" s="75" t="str">
        <f>_xlfn.XLOOKUP(B11,'Product Hierarchy'!A:A,'Product Hierarchy'!C:C)</f>
        <v>DEWALT</v>
      </c>
      <c r="E11" s="75" t="str">
        <f>_xlfn.XLOOKUP(B11,'Product Hierarchy'!A:A,'Product Hierarchy'!E:E)</f>
        <v>Drywall Hand Tools</v>
      </c>
      <c r="F11" s="75" t="str">
        <f>_xlfn.XLOOKUP(B11,'Product Hierarchy'!A:A,'Product Hierarchy'!F:F)</f>
        <v>Taping Knives</v>
      </c>
      <c r="G11" s="76">
        <v>17.489999999999998</v>
      </c>
      <c r="H11" s="76">
        <v>15.74</v>
      </c>
      <c r="I11" s="6">
        <v>11.02</v>
      </c>
      <c r="J11" s="5" t="s">
        <v>26</v>
      </c>
      <c r="K11" s="5">
        <v>4</v>
      </c>
      <c r="L11" s="5">
        <v>24</v>
      </c>
      <c r="M11" s="43"/>
      <c r="N11" s="24">
        <f t="shared" ref="N11:N42" si="0">M11*I11</f>
        <v>0</v>
      </c>
      <c r="O11" s="97"/>
    </row>
    <row r="12" spans="1:15" x14ac:dyDescent="0.25">
      <c r="A12" s="104">
        <v>450017</v>
      </c>
      <c r="B12" s="4" t="s">
        <v>113</v>
      </c>
      <c r="C12" s="4" t="s">
        <v>1549</v>
      </c>
      <c r="D12" s="75" t="str">
        <f>_xlfn.XLOOKUP(B12,'Product Hierarchy'!A:A,'Product Hierarchy'!C:C)</f>
        <v>DEWALT</v>
      </c>
      <c r="E12" s="75" t="str">
        <f>_xlfn.XLOOKUP(B12,'Product Hierarchy'!A:A,'Product Hierarchy'!E:E)</f>
        <v>Drywall Hand Tools</v>
      </c>
      <c r="F12" s="75" t="str">
        <f>_xlfn.XLOOKUP(B12,'Product Hierarchy'!A:A,'Product Hierarchy'!F:F)</f>
        <v>Taping Knives</v>
      </c>
      <c r="G12" s="76">
        <v>18.489999999999998</v>
      </c>
      <c r="H12" s="76">
        <v>16.64</v>
      </c>
      <c r="I12" s="6">
        <v>11.65</v>
      </c>
      <c r="J12" s="5" t="s">
        <v>26</v>
      </c>
      <c r="K12" s="5">
        <v>4</v>
      </c>
      <c r="L12" s="5">
        <v>24</v>
      </c>
      <c r="M12" s="43"/>
      <c r="N12" s="24">
        <f t="shared" si="0"/>
        <v>0</v>
      </c>
      <c r="O12" s="97"/>
    </row>
    <row r="13" spans="1:15" x14ac:dyDescent="0.25">
      <c r="A13" s="104">
        <v>450018</v>
      </c>
      <c r="B13" s="4" t="s">
        <v>114</v>
      </c>
      <c r="C13" s="4" t="s">
        <v>1550</v>
      </c>
      <c r="D13" s="75" t="str">
        <f>_xlfn.XLOOKUP(B13,'Product Hierarchy'!A:A,'Product Hierarchy'!C:C)</f>
        <v>DEWALT</v>
      </c>
      <c r="E13" s="75" t="str">
        <f>_xlfn.XLOOKUP(B13,'Product Hierarchy'!A:A,'Product Hierarchy'!E:E)</f>
        <v>Drywall Hand Tools</v>
      </c>
      <c r="F13" s="75" t="str">
        <f>_xlfn.XLOOKUP(B13,'Product Hierarchy'!A:A,'Product Hierarchy'!F:F)</f>
        <v>Taping Knives</v>
      </c>
      <c r="G13" s="76">
        <v>19.489999999999998</v>
      </c>
      <c r="H13" s="76">
        <v>17.54</v>
      </c>
      <c r="I13" s="6">
        <v>12.28</v>
      </c>
      <c r="J13" s="5" t="s">
        <v>26</v>
      </c>
      <c r="K13" s="5">
        <v>4</v>
      </c>
      <c r="L13" s="5">
        <v>24</v>
      </c>
      <c r="M13" s="43"/>
      <c r="N13" s="24">
        <f t="shared" si="0"/>
        <v>0</v>
      </c>
      <c r="O13" s="97"/>
    </row>
    <row r="14" spans="1:15" x14ac:dyDescent="0.25">
      <c r="A14" s="104">
        <v>450019</v>
      </c>
      <c r="B14" s="4" t="s">
        <v>115</v>
      </c>
      <c r="C14" s="4" t="s">
        <v>1551</v>
      </c>
      <c r="D14" s="75" t="str">
        <f>_xlfn.XLOOKUP(B14,'Product Hierarchy'!A:A,'Product Hierarchy'!C:C)</f>
        <v>DEWALT</v>
      </c>
      <c r="E14" s="75" t="str">
        <f>_xlfn.XLOOKUP(B14,'Product Hierarchy'!A:A,'Product Hierarchy'!E:E)</f>
        <v>Drywall Hand Tools</v>
      </c>
      <c r="F14" s="75" t="str">
        <f>_xlfn.XLOOKUP(B14,'Product Hierarchy'!A:A,'Product Hierarchy'!F:F)</f>
        <v>Taping Knives</v>
      </c>
      <c r="G14" s="76">
        <v>20.99</v>
      </c>
      <c r="H14" s="76">
        <v>18.89</v>
      </c>
      <c r="I14" s="6">
        <v>13.22</v>
      </c>
      <c r="J14" s="5" t="s">
        <v>26</v>
      </c>
      <c r="K14" s="5">
        <v>4</v>
      </c>
      <c r="L14" s="5">
        <v>24</v>
      </c>
      <c r="M14" s="43"/>
      <c r="N14" s="24">
        <f t="shared" si="0"/>
        <v>0</v>
      </c>
      <c r="O14" s="97"/>
    </row>
    <row r="15" spans="1:15" x14ac:dyDescent="0.25">
      <c r="A15" s="104">
        <v>450020</v>
      </c>
      <c r="B15" s="4" t="s">
        <v>116</v>
      </c>
      <c r="C15" s="4" t="s">
        <v>1552</v>
      </c>
      <c r="D15" s="75" t="str">
        <f>_xlfn.XLOOKUP(B15,'Product Hierarchy'!A:A,'Product Hierarchy'!C:C)</f>
        <v>DEWALT</v>
      </c>
      <c r="E15" s="75" t="str">
        <f>_xlfn.XLOOKUP(B15,'Product Hierarchy'!A:A,'Product Hierarchy'!E:E)</f>
        <v>Drywall Hand Tools</v>
      </c>
      <c r="F15" s="75" t="str">
        <f>_xlfn.XLOOKUP(B15,'Product Hierarchy'!A:A,'Product Hierarchy'!F:F)</f>
        <v>Taping Knives</v>
      </c>
      <c r="G15" s="76">
        <v>21.99</v>
      </c>
      <c r="H15" s="76">
        <v>19.79</v>
      </c>
      <c r="I15" s="6">
        <v>13.85</v>
      </c>
      <c r="J15" s="5" t="s">
        <v>26</v>
      </c>
      <c r="K15" s="5">
        <v>4</v>
      </c>
      <c r="L15" s="5">
        <v>24</v>
      </c>
      <c r="M15" s="43"/>
      <c r="N15" s="24">
        <f t="shared" si="0"/>
        <v>0</v>
      </c>
      <c r="O15" s="97"/>
    </row>
    <row r="16" spans="1:15" x14ac:dyDescent="0.25">
      <c r="A16" s="104">
        <v>450021</v>
      </c>
      <c r="B16" s="4" t="s">
        <v>117</v>
      </c>
      <c r="C16" s="4" t="s">
        <v>1553</v>
      </c>
      <c r="D16" s="75" t="str">
        <f>_xlfn.XLOOKUP(B16,'Product Hierarchy'!A:A,'Product Hierarchy'!C:C)</f>
        <v>DEWALT</v>
      </c>
      <c r="E16" s="75" t="str">
        <f>_xlfn.XLOOKUP(B16,'Product Hierarchy'!A:A,'Product Hierarchy'!E:E)</f>
        <v>Drywall Hand Tools</v>
      </c>
      <c r="F16" s="75" t="str">
        <f>_xlfn.XLOOKUP(B16,'Product Hierarchy'!A:A,'Product Hierarchy'!F:F)</f>
        <v>Taping Knives</v>
      </c>
      <c r="G16" s="76">
        <v>18.489999999999998</v>
      </c>
      <c r="H16" s="76">
        <v>16.64</v>
      </c>
      <c r="I16" s="6">
        <v>11.65</v>
      </c>
      <c r="J16" s="5" t="s">
        <v>26</v>
      </c>
      <c r="K16" s="5">
        <v>4</v>
      </c>
      <c r="L16" s="5">
        <v>24</v>
      </c>
      <c r="M16" s="43"/>
      <c r="N16" s="24">
        <f t="shared" si="0"/>
        <v>0</v>
      </c>
      <c r="O16" s="97"/>
    </row>
    <row r="17" spans="1:15" x14ac:dyDescent="0.25">
      <c r="A17" s="104">
        <v>450022</v>
      </c>
      <c r="B17" s="4" t="s">
        <v>118</v>
      </c>
      <c r="C17" s="4" t="s">
        <v>1554</v>
      </c>
      <c r="D17" s="75" t="str">
        <f>_xlfn.XLOOKUP(B17,'Product Hierarchy'!A:A,'Product Hierarchy'!C:C)</f>
        <v>DEWALT</v>
      </c>
      <c r="E17" s="75" t="str">
        <f>_xlfn.XLOOKUP(B17,'Product Hierarchy'!A:A,'Product Hierarchy'!E:E)</f>
        <v>Drywall Hand Tools</v>
      </c>
      <c r="F17" s="75" t="str">
        <f>_xlfn.XLOOKUP(B17,'Product Hierarchy'!A:A,'Product Hierarchy'!F:F)</f>
        <v>Taping Knives</v>
      </c>
      <c r="G17" s="76">
        <v>19.489999999999998</v>
      </c>
      <c r="H17" s="76">
        <v>17.54</v>
      </c>
      <c r="I17" s="6">
        <v>12.28</v>
      </c>
      <c r="J17" s="5" t="s">
        <v>26</v>
      </c>
      <c r="K17" s="5">
        <v>4</v>
      </c>
      <c r="L17" s="5">
        <v>24</v>
      </c>
      <c r="M17" s="43"/>
      <c r="N17" s="24">
        <f t="shared" si="0"/>
        <v>0</v>
      </c>
      <c r="O17" s="97"/>
    </row>
    <row r="18" spans="1:15" x14ac:dyDescent="0.25">
      <c r="A18" s="104">
        <v>450023</v>
      </c>
      <c r="B18" s="4" t="s">
        <v>119</v>
      </c>
      <c r="C18" s="4" t="s">
        <v>1555</v>
      </c>
      <c r="D18" s="75" t="str">
        <f>_xlfn.XLOOKUP(B18,'Product Hierarchy'!A:A,'Product Hierarchy'!C:C)</f>
        <v>DEWALT</v>
      </c>
      <c r="E18" s="75" t="str">
        <f>_xlfn.XLOOKUP(B18,'Product Hierarchy'!A:A,'Product Hierarchy'!E:E)</f>
        <v>Drywall Hand Tools</v>
      </c>
      <c r="F18" s="75" t="str">
        <f>_xlfn.XLOOKUP(B18,'Product Hierarchy'!A:A,'Product Hierarchy'!F:F)</f>
        <v>Taping Knives</v>
      </c>
      <c r="G18" s="76">
        <v>20.99</v>
      </c>
      <c r="H18" s="76">
        <v>18.89</v>
      </c>
      <c r="I18" s="6">
        <v>13.22</v>
      </c>
      <c r="J18" s="5" t="s">
        <v>26</v>
      </c>
      <c r="K18" s="5">
        <v>4</v>
      </c>
      <c r="L18" s="5">
        <v>24</v>
      </c>
      <c r="M18" s="43"/>
      <c r="N18" s="24">
        <f t="shared" si="0"/>
        <v>0</v>
      </c>
      <c r="O18" s="97"/>
    </row>
    <row r="19" spans="1:15" x14ac:dyDescent="0.25">
      <c r="A19" s="104">
        <v>450024</v>
      </c>
      <c r="B19" s="4" t="s">
        <v>120</v>
      </c>
      <c r="C19" s="4" t="s">
        <v>1556</v>
      </c>
      <c r="D19" s="75" t="str">
        <f>_xlfn.XLOOKUP(B19,'Product Hierarchy'!A:A,'Product Hierarchy'!C:C)</f>
        <v>DEWALT</v>
      </c>
      <c r="E19" s="75" t="str">
        <f>_xlfn.XLOOKUP(B19,'Product Hierarchy'!A:A,'Product Hierarchy'!E:E)</f>
        <v>Drywall Hand Tools</v>
      </c>
      <c r="F19" s="75" t="str">
        <f>_xlfn.XLOOKUP(B19,'Product Hierarchy'!A:A,'Product Hierarchy'!F:F)</f>
        <v>Taping Knives</v>
      </c>
      <c r="G19" s="76">
        <v>21.99</v>
      </c>
      <c r="H19" s="76">
        <v>19.79</v>
      </c>
      <c r="I19" s="6">
        <v>13.85</v>
      </c>
      <c r="J19" s="5" t="s">
        <v>26</v>
      </c>
      <c r="K19" s="5">
        <v>4</v>
      </c>
      <c r="L19" s="5">
        <v>24</v>
      </c>
      <c r="M19" s="43"/>
      <c r="N19" s="24">
        <f t="shared" si="0"/>
        <v>0</v>
      </c>
      <c r="O19" s="97"/>
    </row>
    <row r="20" spans="1:15" x14ac:dyDescent="0.25">
      <c r="A20" s="104">
        <v>450025</v>
      </c>
      <c r="B20" s="4" t="s">
        <v>121</v>
      </c>
      <c r="C20" s="4" t="s">
        <v>1418</v>
      </c>
      <c r="D20" s="75" t="str">
        <f>_xlfn.XLOOKUP(B20,'Product Hierarchy'!A:A,'Product Hierarchy'!C:C)</f>
        <v>DEWALT</v>
      </c>
      <c r="E20" s="75" t="str">
        <f>_xlfn.XLOOKUP(B20,'Product Hierarchy'!A:A,'Product Hierarchy'!E:E)</f>
        <v>Drywall Hand Tools</v>
      </c>
      <c r="F20" s="75" t="str">
        <f>_xlfn.XLOOKUP(B20,'Product Hierarchy'!A:A,'Product Hierarchy'!F:F)</f>
        <v>Joint Knives</v>
      </c>
      <c r="G20" s="76">
        <v>15.49</v>
      </c>
      <c r="H20" s="76">
        <v>13.94</v>
      </c>
      <c r="I20" s="6">
        <v>9.76</v>
      </c>
      <c r="J20" s="5" t="s">
        <v>26</v>
      </c>
      <c r="K20" s="5">
        <v>8</v>
      </c>
      <c r="L20" s="5">
        <v>48</v>
      </c>
      <c r="M20" s="43"/>
      <c r="N20" s="24">
        <f t="shared" si="0"/>
        <v>0</v>
      </c>
      <c r="O20" s="97"/>
    </row>
    <row r="21" spans="1:15" x14ac:dyDescent="0.25">
      <c r="A21" s="104">
        <v>450026</v>
      </c>
      <c r="B21" s="4" t="s">
        <v>122</v>
      </c>
      <c r="C21" s="4" t="s">
        <v>1420</v>
      </c>
      <c r="D21" s="75" t="str">
        <f>_xlfn.XLOOKUP(B21,'Product Hierarchy'!A:A,'Product Hierarchy'!C:C)</f>
        <v>DEWALT</v>
      </c>
      <c r="E21" s="75" t="str">
        <f>_xlfn.XLOOKUP(B21,'Product Hierarchy'!A:A,'Product Hierarchy'!E:E)</f>
        <v>Drywall Hand Tools</v>
      </c>
      <c r="F21" s="75" t="str">
        <f>_xlfn.XLOOKUP(B21,'Product Hierarchy'!A:A,'Product Hierarchy'!F:F)</f>
        <v>Joint Knives</v>
      </c>
      <c r="G21" s="76">
        <v>16.489999999999998</v>
      </c>
      <c r="H21" s="76">
        <v>14.84</v>
      </c>
      <c r="I21" s="6">
        <v>10.39</v>
      </c>
      <c r="J21" s="5" t="s">
        <v>26</v>
      </c>
      <c r="K21" s="5">
        <v>8</v>
      </c>
      <c r="L21" s="5">
        <v>48</v>
      </c>
      <c r="M21" s="43"/>
      <c r="N21" s="24">
        <f t="shared" si="0"/>
        <v>0</v>
      </c>
      <c r="O21" s="97"/>
    </row>
    <row r="22" spans="1:15" x14ac:dyDescent="0.25">
      <c r="A22" s="104">
        <v>450029</v>
      </c>
      <c r="B22" s="4" t="s">
        <v>125</v>
      </c>
      <c r="C22" s="4" t="s">
        <v>1421</v>
      </c>
      <c r="D22" s="75" t="str">
        <f>_xlfn.XLOOKUP(B22,'Product Hierarchy'!A:A,'Product Hierarchy'!C:C)</f>
        <v>DEWALT</v>
      </c>
      <c r="E22" s="75" t="str">
        <f>_xlfn.XLOOKUP(B22,'Product Hierarchy'!A:A,'Product Hierarchy'!E:E)</f>
        <v>Drywall Hand Tools</v>
      </c>
      <c r="F22" s="75" t="str">
        <f>_xlfn.XLOOKUP(B22,'Product Hierarchy'!A:A,'Product Hierarchy'!F:F)</f>
        <v>Joint Knives</v>
      </c>
      <c r="G22" s="76">
        <v>20.99</v>
      </c>
      <c r="H22" s="76">
        <v>18.89</v>
      </c>
      <c r="I22" s="6">
        <v>13.22</v>
      </c>
      <c r="J22" s="5" t="s">
        <v>26</v>
      </c>
      <c r="K22" s="5">
        <v>8</v>
      </c>
      <c r="L22" s="5">
        <v>48</v>
      </c>
      <c r="M22" s="43"/>
      <c r="N22" s="24">
        <f t="shared" si="0"/>
        <v>0</v>
      </c>
      <c r="O22" s="97"/>
    </row>
    <row r="23" spans="1:15" x14ac:dyDescent="0.25">
      <c r="A23" s="104">
        <v>450030</v>
      </c>
      <c r="B23" s="4" t="s">
        <v>126</v>
      </c>
      <c r="C23" s="4" t="s">
        <v>1422</v>
      </c>
      <c r="D23" s="75" t="str">
        <f>_xlfn.XLOOKUP(B23,'Product Hierarchy'!A:A,'Product Hierarchy'!C:C)</f>
        <v>DEWALT</v>
      </c>
      <c r="E23" s="75" t="str">
        <f>_xlfn.XLOOKUP(B23,'Product Hierarchy'!A:A,'Product Hierarchy'!E:E)</f>
        <v>Drywall Hand Tools</v>
      </c>
      <c r="F23" s="75" t="str">
        <f>_xlfn.XLOOKUP(B23,'Product Hierarchy'!A:A,'Product Hierarchy'!F:F)</f>
        <v>Joint Knives</v>
      </c>
      <c r="G23" s="76">
        <v>21.99</v>
      </c>
      <c r="H23" s="76">
        <v>19.79</v>
      </c>
      <c r="I23" s="6">
        <v>13.85</v>
      </c>
      <c r="J23" s="5" t="s">
        <v>26</v>
      </c>
      <c r="K23" s="5">
        <v>8</v>
      </c>
      <c r="L23" s="5">
        <v>48</v>
      </c>
      <c r="M23" s="43"/>
      <c r="N23" s="24">
        <f t="shared" si="0"/>
        <v>0</v>
      </c>
      <c r="O23" s="97"/>
    </row>
    <row r="24" spans="1:15" x14ac:dyDescent="0.25">
      <c r="A24" s="104">
        <v>450031</v>
      </c>
      <c r="B24" s="4" t="s">
        <v>127</v>
      </c>
      <c r="C24" s="4" t="s">
        <v>1423</v>
      </c>
      <c r="D24" s="75" t="str">
        <f>_xlfn.XLOOKUP(B24,'Product Hierarchy'!A:A,'Product Hierarchy'!C:C)</f>
        <v>DEWALT</v>
      </c>
      <c r="E24" s="75" t="str">
        <f>_xlfn.XLOOKUP(B24,'Product Hierarchy'!A:A,'Product Hierarchy'!E:E)</f>
        <v>Drywall Hand Tools</v>
      </c>
      <c r="F24" s="75" t="str">
        <f>_xlfn.XLOOKUP(B24,'Product Hierarchy'!A:A,'Product Hierarchy'!F:F)</f>
        <v>Joint Knives</v>
      </c>
      <c r="G24" s="76">
        <v>13.49</v>
      </c>
      <c r="H24" s="76">
        <v>12.14</v>
      </c>
      <c r="I24" s="6">
        <v>8.5</v>
      </c>
      <c r="J24" s="5" t="s">
        <v>26</v>
      </c>
      <c r="K24" s="5">
        <v>8</v>
      </c>
      <c r="L24" s="5">
        <v>48</v>
      </c>
      <c r="M24" s="43"/>
      <c r="N24" s="24">
        <f t="shared" si="0"/>
        <v>0</v>
      </c>
      <c r="O24" s="97"/>
    </row>
    <row r="25" spans="1:15" x14ac:dyDescent="0.25">
      <c r="A25" s="104">
        <v>450032</v>
      </c>
      <c r="B25" s="4" t="s">
        <v>128</v>
      </c>
      <c r="C25" s="4" t="s">
        <v>1424</v>
      </c>
      <c r="D25" s="75" t="str">
        <f>_xlfn.XLOOKUP(B25,'Product Hierarchy'!A:A,'Product Hierarchy'!C:C)</f>
        <v>DEWALT</v>
      </c>
      <c r="E25" s="75" t="str">
        <f>_xlfn.XLOOKUP(B25,'Product Hierarchy'!A:A,'Product Hierarchy'!E:E)</f>
        <v>Drywall Hand Tools</v>
      </c>
      <c r="F25" s="75" t="str">
        <f>_xlfn.XLOOKUP(B25,'Product Hierarchy'!A:A,'Product Hierarchy'!F:F)</f>
        <v>Joint Knives</v>
      </c>
      <c r="G25" s="76">
        <v>14.99</v>
      </c>
      <c r="H25" s="76">
        <v>13.49</v>
      </c>
      <c r="I25" s="6">
        <v>9.44</v>
      </c>
      <c r="J25" s="5" t="s">
        <v>26</v>
      </c>
      <c r="K25" s="5">
        <v>8</v>
      </c>
      <c r="L25" s="5">
        <v>48</v>
      </c>
      <c r="M25" s="43"/>
      <c r="N25" s="24">
        <f t="shared" si="0"/>
        <v>0</v>
      </c>
      <c r="O25" s="97"/>
    </row>
    <row r="26" spans="1:15" x14ac:dyDescent="0.25">
      <c r="A26" s="104">
        <v>450033</v>
      </c>
      <c r="B26" s="4" t="s">
        <v>129</v>
      </c>
      <c r="C26" s="4" t="s">
        <v>1425</v>
      </c>
      <c r="D26" s="75" t="str">
        <f>_xlfn.XLOOKUP(B26,'Product Hierarchy'!A:A,'Product Hierarchy'!C:C)</f>
        <v>DEWALT</v>
      </c>
      <c r="E26" s="75" t="str">
        <f>_xlfn.XLOOKUP(B26,'Product Hierarchy'!A:A,'Product Hierarchy'!E:E)</f>
        <v>Drywall Hand Tools</v>
      </c>
      <c r="F26" s="75" t="str">
        <f>_xlfn.XLOOKUP(B26,'Product Hierarchy'!A:A,'Product Hierarchy'!F:F)</f>
        <v>Joint Knives</v>
      </c>
      <c r="G26" s="76">
        <v>14.99</v>
      </c>
      <c r="H26" s="76">
        <v>13.49</v>
      </c>
      <c r="I26" s="6">
        <v>9.44</v>
      </c>
      <c r="J26" s="5" t="s">
        <v>26</v>
      </c>
      <c r="K26" s="5">
        <v>4</v>
      </c>
      <c r="L26" s="5">
        <v>48</v>
      </c>
      <c r="M26" s="43"/>
      <c r="N26" s="24">
        <f t="shared" si="0"/>
        <v>0</v>
      </c>
      <c r="O26" s="97"/>
    </row>
    <row r="27" spans="1:15" x14ac:dyDescent="0.25">
      <c r="A27" s="104">
        <v>450034</v>
      </c>
      <c r="B27" s="4" t="s">
        <v>130</v>
      </c>
      <c r="C27" s="4" t="s">
        <v>1426</v>
      </c>
      <c r="D27" s="75" t="str">
        <f>_xlfn.XLOOKUP(B27,'Product Hierarchy'!A:A,'Product Hierarchy'!C:C)</f>
        <v>DEWALT</v>
      </c>
      <c r="E27" s="75" t="str">
        <f>_xlfn.XLOOKUP(B27,'Product Hierarchy'!A:A,'Product Hierarchy'!E:E)</f>
        <v>Drywall Hand Tools</v>
      </c>
      <c r="F27" s="75" t="str">
        <f>_xlfn.XLOOKUP(B27,'Product Hierarchy'!A:A,'Product Hierarchy'!F:F)</f>
        <v>Joint Knives</v>
      </c>
      <c r="G27" s="76">
        <v>15.99</v>
      </c>
      <c r="H27" s="76">
        <v>14.39</v>
      </c>
      <c r="I27" s="6">
        <v>10.07</v>
      </c>
      <c r="J27" s="5" t="s">
        <v>26</v>
      </c>
      <c r="K27" s="5">
        <v>4</v>
      </c>
      <c r="L27" s="5">
        <v>48</v>
      </c>
      <c r="M27" s="43"/>
      <c r="N27" s="24">
        <f t="shared" si="0"/>
        <v>0</v>
      </c>
      <c r="O27" s="97"/>
    </row>
    <row r="28" spans="1:15" x14ac:dyDescent="0.25">
      <c r="A28" s="104">
        <v>450035</v>
      </c>
      <c r="B28" s="4" t="s">
        <v>131</v>
      </c>
      <c r="C28" s="4" t="s">
        <v>1427</v>
      </c>
      <c r="D28" s="75" t="str">
        <f>_xlfn.XLOOKUP(B28,'Product Hierarchy'!A:A,'Product Hierarchy'!C:C)</f>
        <v>DEWALT</v>
      </c>
      <c r="E28" s="75" t="str">
        <f>_xlfn.XLOOKUP(B28,'Product Hierarchy'!A:A,'Product Hierarchy'!E:E)</f>
        <v>Drywall Hand Tools</v>
      </c>
      <c r="F28" s="75" t="str">
        <f>_xlfn.XLOOKUP(B28,'Product Hierarchy'!A:A,'Product Hierarchy'!F:F)</f>
        <v>Joint Knives</v>
      </c>
      <c r="G28" s="76">
        <v>16.989999999999998</v>
      </c>
      <c r="H28" s="76">
        <v>15.29</v>
      </c>
      <c r="I28" s="6">
        <v>10.7</v>
      </c>
      <c r="J28" s="5" t="s">
        <v>26</v>
      </c>
      <c r="K28" s="5">
        <v>4</v>
      </c>
      <c r="L28" s="5">
        <v>48</v>
      </c>
      <c r="M28" s="43"/>
      <c r="N28" s="24">
        <f t="shared" si="0"/>
        <v>0</v>
      </c>
      <c r="O28" s="97"/>
    </row>
    <row r="29" spans="1:15" x14ac:dyDescent="0.25">
      <c r="A29" s="104">
        <v>450036</v>
      </c>
      <c r="B29" s="4" t="s">
        <v>132</v>
      </c>
      <c r="C29" s="4" t="s">
        <v>1428</v>
      </c>
      <c r="D29" s="75" t="str">
        <f>_xlfn.XLOOKUP(B29,'Product Hierarchy'!A:A,'Product Hierarchy'!C:C)</f>
        <v>DEWALT</v>
      </c>
      <c r="E29" s="75" t="str">
        <f>_xlfn.XLOOKUP(B29,'Product Hierarchy'!A:A,'Product Hierarchy'!E:E)</f>
        <v>Drywall Hand Tools</v>
      </c>
      <c r="F29" s="75" t="str">
        <f>_xlfn.XLOOKUP(B29,'Product Hierarchy'!A:A,'Product Hierarchy'!F:F)</f>
        <v>Joint Knives</v>
      </c>
      <c r="G29" s="76">
        <v>18.489999999999998</v>
      </c>
      <c r="H29" s="76">
        <v>16.64</v>
      </c>
      <c r="I29" s="6">
        <v>11.65</v>
      </c>
      <c r="J29" s="5" t="s">
        <v>26</v>
      </c>
      <c r="K29" s="5">
        <v>4</v>
      </c>
      <c r="L29" s="5">
        <v>48</v>
      </c>
      <c r="M29" s="43"/>
      <c r="N29" s="24">
        <f t="shared" si="0"/>
        <v>0</v>
      </c>
      <c r="O29" s="97"/>
    </row>
    <row r="30" spans="1:15" x14ac:dyDescent="0.25">
      <c r="A30" s="104">
        <v>450037</v>
      </c>
      <c r="B30" s="4" t="s">
        <v>133</v>
      </c>
      <c r="C30" s="4" t="s">
        <v>1429</v>
      </c>
      <c r="D30" s="75" t="str">
        <f>_xlfn.XLOOKUP(B30,'Product Hierarchy'!A:A,'Product Hierarchy'!C:C)</f>
        <v>DEWALT</v>
      </c>
      <c r="E30" s="75" t="str">
        <f>_xlfn.XLOOKUP(B30,'Product Hierarchy'!A:A,'Product Hierarchy'!E:E)</f>
        <v>Drywall Hand Tools</v>
      </c>
      <c r="F30" s="75" t="str">
        <f>_xlfn.XLOOKUP(B30,'Product Hierarchy'!A:A,'Product Hierarchy'!F:F)</f>
        <v>Joint Knives</v>
      </c>
      <c r="G30" s="76">
        <v>19.489999999999998</v>
      </c>
      <c r="H30" s="76">
        <v>17.54</v>
      </c>
      <c r="I30" s="6">
        <v>12.28</v>
      </c>
      <c r="J30" s="5" t="s">
        <v>26</v>
      </c>
      <c r="K30" s="5">
        <v>4</v>
      </c>
      <c r="L30" s="5">
        <v>48</v>
      </c>
      <c r="M30" s="43"/>
      <c r="N30" s="24">
        <f t="shared" si="0"/>
        <v>0</v>
      </c>
      <c r="O30" s="97"/>
    </row>
    <row r="31" spans="1:15" x14ac:dyDescent="0.25">
      <c r="A31" s="104">
        <v>450038</v>
      </c>
      <c r="B31" s="4" t="s">
        <v>134</v>
      </c>
      <c r="C31" s="4" t="s">
        <v>1430</v>
      </c>
      <c r="D31" s="75" t="str">
        <f>_xlfn.XLOOKUP(B31,'Product Hierarchy'!A:A,'Product Hierarchy'!C:C)</f>
        <v>DEWALT</v>
      </c>
      <c r="E31" s="75" t="str">
        <f>_xlfn.XLOOKUP(B31,'Product Hierarchy'!A:A,'Product Hierarchy'!E:E)</f>
        <v>Drywall Hand Tools</v>
      </c>
      <c r="F31" s="75" t="str">
        <f>_xlfn.XLOOKUP(B31,'Product Hierarchy'!A:A,'Product Hierarchy'!F:F)</f>
        <v>Joint Knives</v>
      </c>
      <c r="G31" s="76">
        <v>20.99</v>
      </c>
      <c r="H31" s="76">
        <v>18.89</v>
      </c>
      <c r="I31" s="6">
        <v>13.22</v>
      </c>
      <c r="J31" s="5" t="s">
        <v>26</v>
      </c>
      <c r="K31" s="5">
        <v>4</v>
      </c>
      <c r="L31" s="5">
        <v>48</v>
      </c>
      <c r="M31" s="43"/>
      <c r="N31" s="24">
        <f t="shared" si="0"/>
        <v>0</v>
      </c>
      <c r="O31" s="97"/>
    </row>
    <row r="32" spans="1:15" x14ac:dyDescent="0.25">
      <c r="A32" s="104">
        <v>450045</v>
      </c>
      <c r="B32" s="4" t="s">
        <v>135</v>
      </c>
      <c r="C32" s="4" t="s">
        <v>1557</v>
      </c>
      <c r="D32" s="75" t="str">
        <f>_xlfn.XLOOKUP(B32,'Product Hierarchy'!A:A,'Product Hierarchy'!C:C)</f>
        <v>DEWALT</v>
      </c>
      <c r="E32" s="75" t="str">
        <f>_xlfn.XLOOKUP(B32,'Product Hierarchy'!A:A,'Product Hierarchy'!E:E)</f>
        <v>Drywall Hand Tools</v>
      </c>
      <c r="F32" s="75" t="str">
        <f>_xlfn.XLOOKUP(B32,'Product Hierarchy'!A:A,'Product Hierarchy'!F:F)</f>
        <v>Taping Knives</v>
      </c>
      <c r="G32" s="76">
        <v>21.49</v>
      </c>
      <c r="H32" s="76">
        <v>19.34</v>
      </c>
      <c r="I32" s="6">
        <v>13.54</v>
      </c>
      <c r="J32" s="5" t="s">
        <v>26</v>
      </c>
      <c r="K32" s="5">
        <v>6</v>
      </c>
      <c r="L32" s="5">
        <v>24</v>
      </c>
      <c r="M32" s="43"/>
      <c r="N32" s="24">
        <f t="shared" si="0"/>
        <v>0</v>
      </c>
      <c r="O32" s="97"/>
    </row>
    <row r="33" spans="1:15" x14ac:dyDescent="0.25">
      <c r="A33" s="104">
        <v>450046</v>
      </c>
      <c r="B33" s="4" t="s">
        <v>136</v>
      </c>
      <c r="C33" s="4" t="s">
        <v>1558</v>
      </c>
      <c r="D33" s="75" t="str">
        <f>_xlfn.XLOOKUP(B33,'Product Hierarchy'!A:A,'Product Hierarchy'!C:C)</f>
        <v>DEWALT</v>
      </c>
      <c r="E33" s="75" t="str">
        <f>_xlfn.XLOOKUP(B33,'Product Hierarchy'!A:A,'Product Hierarchy'!E:E)</f>
        <v>Drywall Hand Tools</v>
      </c>
      <c r="F33" s="75" t="str">
        <f>_xlfn.XLOOKUP(B33,'Product Hierarchy'!A:A,'Product Hierarchy'!F:F)</f>
        <v>Taping Knives</v>
      </c>
      <c r="G33" s="76">
        <v>22.49</v>
      </c>
      <c r="H33" s="76">
        <v>20.239999999999998</v>
      </c>
      <c r="I33" s="6">
        <v>14.17</v>
      </c>
      <c r="J33" s="5" t="s">
        <v>26</v>
      </c>
      <c r="K33" s="5">
        <v>6</v>
      </c>
      <c r="L33" s="5">
        <v>24</v>
      </c>
      <c r="M33" s="43"/>
      <c r="N33" s="24">
        <f t="shared" si="0"/>
        <v>0</v>
      </c>
      <c r="O33" s="97"/>
    </row>
    <row r="34" spans="1:15" x14ac:dyDescent="0.25">
      <c r="A34" s="104">
        <v>450047</v>
      </c>
      <c r="B34" s="4" t="s">
        <v>137</v>
      </c>
      <c r="C34" s="4" t="s">
        <v>1559</v>
      </c>
      <c r="D34" s="75" t="str">
        <f>_xlfn.XLOOKUP(B34,'Product Hierarchy'!A:A,'Product Hierarchy'!C:C)</f>
        <v>DEWALT</v>
      </c>
      <c r="E34" s="75" t="str">
        <f>_xlfn.XLOOKUP(B34,'Product Hierarchy'!A:A,'Product Hierarchy'!E:E)</f>
        <v>Drywall Hand Tools</v>
      </c>
      <c r="F34" s="75" t="str">
        <f>_xlfn.XLOOKUP(B34,'Product Hierarchy'!A:A,'Product Hierarchy'!F:F)</f>
        <v>Taping Knives</v>
      </c>
      <c r="G34" s="76">
        <v>23.49</v>
      </c>
      <c r="H34" s="76">
        <v>21.14</v>
      </c>
      <c r="I34" s="6">
        <v>14.8</v>
      </c>
      <c r="J34" s="5" t="s">
        <v>26</v>
      </c>
      <c r="K34" s="5">
        <v>6</v>
      </c>
      <c r="L34" s="5">
        <v>24</v>
      </c>
      <c r="M34" s="43"/>
      <c r="N34" s="24">
        <f t="shared" si="0"/>
        <v>0</v>
      </c>
      <c r="O34" s="97"/>
    </row>
    <row r="35" spans="1:15" x14ac:dyDescent="0.25">
      <c r="A35" s="104">
        <v>450048</v>
      </c>
      <c r="B35" s="4" t="s">
        <v>138</v>
      </c>
      <c r="C35" s="4" t="s">
        <v>1560</v>
      </c>
      <c r="D35" s="75" t="str">
        <f>_xlfn.XLOOKUP(B35,'Product Hierarchy'!A:A,'Product Hierarchy'!C:C)</f>
        <v>DEWALT</v>
      </c>
      <c r="E35" s="75" t="str">
        <f>_xlfn.XLOOKUP(B35,'Product Hierarchy'!A:A,'Product Hierarchy'!E:E)</f>
        <v>Drywall Hand Tools</v>
      </c>
      <c r="F35" s="75" t="str">
        <f>_xlfn.XLOOKUP(B35,'Product Hierarchy'!A:A,'Product Hierarchy'!F:F)</f>
        <v>Taping Knives</v>
      </c>
      <c r="G35" s="76">
        <v>24.49</v>
      </c>
      <c r="H35" s="76">
        <v>22.04</v>
      </c>
      <c r="I35" s="6">
        <v>15.43</v>
      </c>
      <c r="J35" s="5" t="s">
        <v>26</v>
      </c>
      <c r="K35" s="5">
        <v>6</v>
      </c>
      <c r="L35" s="5">
        <v>24</v>
      </c>
      <c r="M35" s="43"/>
      <c r="N35" s="24">
        <f t="shared" si="0"/>
        <v>0</v>
      </c>
      <c r="O35" s="97"/>
    </row>
    <row r="36" spans="1:15" x14ac:dyDescent="0.25">
      <c r="A36" s="104">
        <v>450049</v>
      </c>
      <c r="B36" s="4" t="s">
        <v>139</v>
      </c>
      <c r="C36" s="4" t="s">
        <v>1561</v>
      </c>
      <c r="D36" s="75" t="str">
        <f>_xlfn.XLOOKUP(B36,'Product Hierarchy'!A:A,'Product Hierarchy'!C:C)</f>
        <v>DEWALT</v>
      </c>
      <c r="E36" s="75" t="str">
        <f>_xlfn.XLOOKUP(B36,'Product Hierarchy'!A:A,'Product Hierarchy'!E:E)</f>
        <v>Drywall Hand Tools</v>
      </c>
      <c r="F36" s="75" t="str">
        <f>_xlfn.XLOOKUP(B36,'Product Hierarchy'!A:A,'Product Hierarchy'!F:F)</f>
        <v>Taping Knives</v>
      </c>
      <c r="G36" s="76">
        <v>25.49</v>
      </c>
      <c r="H36" s="76">
        <v>22.94</v>
      </c>
      <c r="I36" s="6">
        <v>16.059999999999999</v>
      </c>
      <c r="J36" s="5" t="s">
        <v>26</v>
      </c>
      <c r="K36" s="5">
        <v>6</v>
      </c>
      <c r="L36" s="5">
        <v>24</v>
      </c>
      <c r="M36" s="43"/>
      <c r="N36" s="24">
        <f t="shared" si="0"/>
        <v>0</v>
      </c>
      <c r="O36" s="97"/>
    </row>
    <row r="37" spans="1:15" x14ac:dyDescent="0.25">
      <c r="A37" s="104">
        <v>450050</v>
      </c>
      <c r="B37" s="4" t="s">
        <v>140</v>
      </c>
      <c r="C37" s="4" t="s">
        <v>1562</v>
      </c>
      <c r="D37" s="75" t="str">
        <f>_xlfn.XLOOKUP(B37,'Product Hierarchy'!A:A,'Product Hierarchy'!C:C)</f>
        <v>DEWALT</v>
      </c>
      <c r="E37" s="75" t="str">
        <f>_xlfn.XLOOKUP(B37,'Product Hierarchy'!A:A,'Product Hierarchy'!E:E)</f>
        <v>Drywall Hand Tools</v>
      </c>
      <c r="F37" s="75" t="str">
        <f>_xlfn.XLOOKUP(B37,'Product Hierarchy'!A:A,'Product Hierarchy'!F:F)</f>
        <v>Taping Knives</v>
      </c>
      <c r="G37" s="76">
        <v>23.49</v>
      </c>
      <c r="H37" s="76">
        <v>21.14</v>
      </c>
      <c r="I37" s="6">
        <v>14.8</v>
      </c>
      <c r="J37" s="5" t="s">
        <v>26</v>
      </c>
      <c r="K37" s="5">
        <v>6</v>
      </c>
      <c r="L37" s="5">
        <v>24</v>
      </c>
      <c r="M37" s="43"/>
      <c r="N37" s="24">
        <f t="shared" si="0"/>
        <v>0</v>
      </c>
      <c r="O37" s="97"/>
    </row>
    <row r="38" spans="1:15" x14ac:dyDescent="0.25">
      <c r="A38" s="104">
        <v>450051</v>
      </c>
      <c r="B38" s="4" t="s">
        <v>141</v>
      </c>
      <c r="C38" s="4" t="s">
        <v>1563</v>
      </c>
      <c r="D38" s="75" t="str">
        <f>_xlfn.XLOOKUP(B38,'Product Hierarchy'!A:A,'Product Hierarchy'!C:C)</f>
        <v>DEWALT</v>
      </c>
      <c r="E38" s="75" t="str">
        <f>_xlfn.XLOOKUP(B38,'Product Hierarchy'!A:A,'Product Hierarchy'!E:E)</f>
        <v>Drywall Hand Tools</v>
      </c>
      <c r="F38" s="75" t="str">
        <f>_xlfn.XLOOKUP(B38,'Product Hierarchy'!A:A,'Product Hierarchy'!F:F)</f>
        <v>Taping Knives</v>
      </c>
      <c r="G38" s="76">
        <v>24.49</v>
      </c>
      <c r="H38" s="76">
        <v>22.04</v>
      </c>
      <c r="I38" s="6">
        <v>15.43</v>
      </c>
      <c r="J38" s="5" t="s">
        <v>26</v>
      </c>
      <c r="K38" s="5">
        <v>6</v>
      </c>
      <c r="L38" s="5">
        <v>24</v>
      </c>
      <c r="M38" s="43"/>
      <c r="N38" s="24">
        <f t="shared" si="0"/>
        <v>0</v>
      </c>
      <c r="O38" s="97"/>
    </row>
    <row r="39" spans="1:15" x14ac:dyDescent="0.25">
      <c r="A39" s="104">
        <v>450052</v>
      </c>
      <c r="B39" s="4" t="s">
        <v>142</v>
      </c>
      <c r="C39" s="4" t="s">
        <v>1564</v>
      </c>
      <c r="D39" s="75" t="str">
        <f>_xlfn.XLOOKUP(B39,'Product Hierarchy'!A:A,'Product Hierarchy'!C:C)</f>
        <v>DEWALT</v>
      </c>
      <c r="E39" s="75" t="str">
        <f>_xlfn.XLOOKUP(B39,'Product Hierarchy'!A:A,'Product Hierarchy'!E:E)</f>
        <v>Drywall Hand Tools</v>
      </c>
      <c r="F39" s="75" t="str">
        <f>_xlfn.XLOOKUP(B39,'Product Hierarchy'!A:A,'Product Hierarchy'!F:F)</f>
        <v>Taping Knives</v>
      </c>
      <c r="G39" s="76">
        <v>25.49</v>
      </c>
      <c r="H39" s="76">
        <v>22.94</v>
      </c>
      <c r="I39" s="6">
        <v>16.059999999999999</v>
      </c>
      <c r="J39" s="5" t="s">
        <v>26</v>
      </c>
      <c r="K39" s="5">
        <v>6</v>
      </c>
      <c r="L39" s="5">
        <v>24</v>
      </c>
      <c r="M39" s="43"/>
      <c r="N39" s="24">
        <f t="shared" si="0"/>
        <v>0</v>
      </c>
      <c r="O39" s="97"/>
    </row>
    <row r="40" spans="1:15" x14ac:dyDescent="0.25">
      <c r="A40" s="104">
        <v>450053</v>
      </c>
      <c r="B40" s="4" t="s">
        <v>143</v>
      </c>
      <c r="C40" s="4" t="s">
        <v>1565</v>
      </c>
      <c r="D40" s="75" t="str">
        <f>_xlfn.XLOOKUP(B40,'Product Hierarchy'!A:A,'Product Hierarchy'!C:C)</f>
        <v>DEWALT</v>
      </c>
      <c r="E40" s="75" t="str">
        <f>_xlfn.XLOOKUP(B40,'Product Hierarchy'!A:A,'Product Hierarchy'!E:E)</f>
        <v>Drywall Hand Tools</v>
      </c>
      <c r="F40" s="75" t="str">
        <f>_xlfn.XLOOKUP(B40,'Product Hierarchy'!A:A,'Product Hierarchy'!F:F)</f>
        <v>Taping Knives</v>
      </c>
      <c r="G40" s="76">
        <v>26.49</v>
      </c>
      <c r="H40" s="76">
        <v>23.84</v>
      </c>
      <c r="I40" s="6">
        <v>16.690000000000001</v>
      </c>
      <c r="J40" s="5" t="s">
        <v>26</v>
      </c>
      <c r="K40" s="5">
        <v>6</v>
      </c>
      <c r="L40" s="5">
        <v>24</v>
      </c>
      <c r="M40" s="43"/>
      <c r="N40" s="24">
        <f t="shared" si="0"/>
        <v>0</v>
      </c>
      <c r="O40" s="97"/>
    </row>
    <row r="41" spans="1:15" x14ac:dyDescent="0.25">
      <c r="A41" s="104">
        <v>450054</v>
      </c>
      <c r="B41" s="4" t="s">
        <v>144</v>
      </c>
      <c r="C41" s="4" t="s">
        <v>1566</v>
      </c>
      <c r="D41" s="75" t="str">
        <f>_xlfn.XLOOKUP(B41,'Product Hierarchy'!A:A,'Product Hierarchy'!C:C)</f>
        <v>DEWALT</v>
      </c>
      <c r="E41" s="75" t="str">
        <f>_xlfn.XLOOKUP(B41,'Product Hierarchy'!A:A,'Product Hierarchy'!E:E)</f>
        <v>Drywall Hand Tools</v>
      </c>
      <c r="F41" s="75" t="str">
        <f>_xlfn.XLOOKUP(B41,'Product Hierarchy'!A:A,'Product Hierarchy'!F:F)</f>
        <v>Taping Knives</v>
      </c>
      <c r="G41" s="76">
        <v>27.99</v>
      </c>
      <c r="H41" s="76">
        <v>25.19</v>
      </c>
      <c r="I41" s="6">
        <v>17.63</v>
      </c>
      <c r="J41" s="5" t="s">
        <v>26</v>
      </c>
      <c r="K41" s="5">
        <v>6</v>
      </c>
      <c r="L41" s="5">
        <v>24</v>
      </c>
      <c r="M41" s="43"/>
      <c r="N41" s="24">
        <f t="shared" si="0"/>
        <v>0</v>
      </c>
      <c r="O41" s="97"/>
    </row>
    <row r="42" spans="1:15" x14ac:dyDescent="0.25">
      <c r="A42" s="104">
        <v>450055</v>
      </c>
      <c r="B42" s="4" t="s">
        <v>145</v>
      </c>
      <c r="C42" s="4" t="s">
        <v>1541</v>
      </c>
      <c r="D42" s="75" t="str">
        <f>_xlfn.XLOOKUP(B42,'Product Hierarchy'!A:A,'Product Hierarchy'!C:C)</f>
        <v>DEWALT</v>
      </c>
      <c r="E42" s="75" t="str">
        <f>_xlfn.XLOOKUP(B42,'Product Hierarchy'!A:A,'Product Hierarchy'!E:E)</f>
        <v>Drywall Hand Tools</v>
      </c>
      <c r="F42" s="75" t="str">
        <f>_xlfn.XLOOKUP(B42,'Product Hierarchy'!A:A,'Product Hierarchy'!F:F)</f>
        <v>Specialty Knives</v>
      </c>
      <c r="G42" s="76">
        <v>15.99</v>
      </c>
      <c r="H42" s="76">
        <v>14.39</v>
      </c>
      <c r="I42" s="6">
        <v>10.07</v>
      </c>
      <c r="J42" s="5" t="s">
        <v>26</v>
      </c>
      <c r="K42" s="5">
        <v>8</v>
      </c>
      <c r="L42" s="5">
        <v>48</v>
      </c>
      <c r="M42" s="43"/>
      <c r="N42" s="24">
        <f t="shared" si="0"/>
        <v>0</v>
      </c>
      <c r="O42" s="97"/>
    </row>
    <row r="43" spans="1:15" x14ac:dyDescent="0.25">
      <c r="A43" s="104">
        <v>450056</v>
      </c>
      <c r="B43" s="4" t="s">
        <v>146</v>
      </c>
      <c r="C43" s="4" t="s">
        <v>1543</v>
      </c>
      <c r="D43" s="75" t="str">
        <f>_xlfn.XLOOKUP(B43,'Product Hierarchy'!A:A,'Product Hierarchy'!C:C)</f>
        <v>DEWALT</v>
      </c>
      <c r="E43" s="75" t="str">
        <f>_xlfn.XLOOKUP(B43,'Product Hierarchy'!A:A,'Product Hierarchy'!E:E)</f>
        <v>Drywall Hand Tools</v>
      </c>
      <c r="F43" s="75" t="str">
        <f>_xlfn.XLOOKUP(B43,'Product Hierarchy'!A:A,'Product Hierarchy'!F:F)</f>
        <v>Specialty Knives</v>
      </c>
      <c r="G43" s="76">
        <v>15.99</v>
      </c>
      <c r="H43" s="76">
        <v>14.39</v>
      </c>
      <c r="I43" s="6">
        <v>10.07</v>
      </c>
      <c r="J43" s="5" t="s">
        <v>26</v>
      </c>
      <c r="K43" s="5">
        <v>8</v>
      </c>
      <c r="L43" s="5">
        <v>48</v>
      </c>
      <c r="M43" s="43"/>
      <c r="N43" s="24">
        <f t="shared" ref="N43:N75" si="1">M43*I43</f>
        <v>0</v>
      </c>
      <c r="O43" s="97"/>
    </row>
    <row r="44" spans="1:15" x14ac:dyDescent="0.25">
      <c r="A44" s="104">
        <v>450057</v>
      </c>
      <c r="B44" s="4" t="s">
        <v>147</v>
      </c>
      <c r="C44" s="4" t="s">
        <v>1544</v>
      </c>
      <c r="D44" s="75" t="str">
        <f>_xlfn.XLOOKUP(B44,'Product Hierarchy'!A:A,'Product Hierarchy'!C:C)</f>
        <v>DEWALT</v>
      </c>
      <c r="E44" s="75" t="str">
        <f>_xlfn.XLOOKUP(B44,'Product Hierarchy'!A:A,'Product Hierarchy'!E:E)</f>
        <v>Drywall Hand Tools</v>
      </c>
      <c r="F44" s="75" t="str">
        <f>_xlfn.XLOOKUP(B44,'Product Hierarchy'!A:A,'Product Hierarchy'!F:F)</f>
        <v>Specialty Knives</v>
      </c>
      <c r="G44" s="76">
        <v>15.99</v>
      </c>
      <c r="H44" s="76">
        <v>14.39</v>
      </c>
      <c r="I44" s="6">
        <v>10.07</v>
      </c>
      <c r="J44" s="5" t="s">
        <v>26</v>
      </c>
      <c r="K44" s="5">
        <v>8</v>
      </c>
      <c r="L44" s="5">
        <v>48</v>
      </c>
      <c r="M44" s="43"/>
      <c r="N44" s="24">
        <f t="shared" si="1"/>
        <v>0</v>
      </c>
      <c r="O44" s="97"/>
    </row>
    <row r="45" spans="1:15" x14ac:dyDescent="0.25">
      <c r="A45" s="104">
        <v>450058</v>
      </c>
      <c r="B45" s="4" t="s">
        <v>3567</v>
      </c>
      <c r="C45" s="4" t="s">
        <v>4390</v>
      </c>
      <c r="D45" s="75" t="s">
        <v>922</v>
      </c>
      <c r="E45" s="75" t="s">
        <v>1399</v>
      </c>
      <c r="F45" s="75" t="s">
        <v>1590</v>
      </c>
      <c r="G45" s="76">
        <v>21.99</v>
      </c>
      <c r="H45" s="76">
        <v>17.989999999999998</v>
      </c>
      <c r="I45" s="6">
        <v>12.59</v>
      </c>
      <c r="J45" s="5" t="s">
        <v>26</v>
      </c>
      <c r="K45" s="5">
        <v>4</v>
      </c>
      <c r="L45" s="5">
        <v>40</v>
      </c>
      <c r="M45" s="43"/>
      <c r="N45" s="24">
        <f t="shared" si="1"/>
        <v>0</v>
      </c>
      <c r="O45" s="97"/>
    </row>
    <row r="46" spans="1:15" x14ac:dyDescent="0.25">
      <c r="A46" s="104">
        <v>450059</v>
      </c>
      <c r="B46" s="4" t="s">
        <v>555</v>
      </c>
      <c r="C46" s="4" t="s">
        <v>1467</v>
      </c>
      <c r="D46" s="75" t="str">
        <f>_xlfn.XLOOKUP(B46,'Product Hierarchy'!A:A,'Product Hierarchy'!C:C)</f>
        <v>DEWALT</v>
      </c>
      <c r="E46" s="75" t="str">
        <f>_xlfn.XLOOKUP(B46,'Product Hierarchy'!A:A,'Product Hierarchy'!E:E)</f>
        <v>Drywall Hand Tools</v>
      </c>
      <c r="F46" s="75" t="str">
        <f>_xlfn.XLOOKUP(B46,'Product Hierarchy'!A:A,'Product Hierarchy'!F:F)</f>
        <v>Mixers</v>
      </c>
      <c r="G46" s="76">
        <v>36.49</v>
      </c>
      <c r="H46" s="76">
        <v>32.840000000000003</v>
      </c>
      <c r="I46" s="6">
        <v>22.99</v>
      </c>
      <c r="J46" s="5" t="s">
        <v>26</v>
      </c>
      <c r="K46" s="5">
        <v>4</v>
      </c>
      <c r="L46" s="5">
        <v>4</v>
      </c>
      <c r="M46" s="43"/>
      <c r="N46" s="24">
        <f t="shared" si="1"/>
        <v>0</v>
      </c>
      <c r="O46" s="97"/>
    </row>
    <row r="47" spans="1:15" x14ac:dyDescent="0.25">
      <c r="A47" s="104">
        <v>450060</v>
      </c>
      <c r="B47" s="4" t="s">
        <v>148</v>
      </c>
      <c r="C47" s="4" t="s">
        <v>4373</v>
      </c>
      <c r="D47" s="75" t="str">
        <f>_xlfn.XLOOKUP(B47,'Product Hierarchy'!A:A,'Product Hierarchy'!C:C)</f>
        <v>DEWALT</v>
      </c>
      <c r="E47" s="75" t="str">
        <f>_xlfn.XLOOKUP(B47,'Product Hierarchy'!A:A,'Product Hierarchy'!E:E)</f>
        <v>Drywall Hand Tools</v>
      </c>
      <c r="F47" s="75" t="str">
        <f>_xlfn.XLOOKUP(B47,'Product Hierarchy'!A:A,'Product Hierarchy'!F:F)</f>
        <v>Mixers</v>
      </c>
      <c r="G47" s="76">
        <v>45.49</v>
      </c>
      <c r="H47" s="76">
        <v>40.94</v>
      </c>
      <c r="I47" s="6">
        <v>28.66</v>
      </c>
      <c r="J47" s="5" t="s">
        <v>26</v>
      </c>
      <c r="K47" s="5">
        <v>2</v>
      </c>
      <c r="L47" s="5">
        <v>2</v>
      </c>
      <c r="M47" s="43"/>
      <c r="N47" s="24">
        <f t="shared" si="1"/>
        <v>0</v>
      </c>
      <c r="O47" s="97"/>
    </row>
    <row r="48" spans="1:15" x14ac:dyDescent="0.25">
      <c r="A48" s="104">
        <v>450061</v>
      </c>
      <c r="B48" s="4" t="s">
        <v>149</v>
      </c>
      <c r="C48" s="4" t="s">
        <v>1470</v>
      </c>
      <c r="D48" s="75" t="str">
        <f>_xlfn.XLOOKUP(B48,'Product Hierarchy'!A:A,'Product Hierarchy'!C:C)</f>
        <v>DEWALT</v>
      </c>
      <c r="E48" s="75" t="str">
        <f>_xlfn.XLOOKUP(B48,'Product Hierarchy'!A:A,'Product Hierarchy'!E:E)</f>
        <v>Drywall Hand Tools</v>
      </c>
      <c r="F48" s="75" t="str">
        <f>_xlfn.XLOOKUP(B48,'Product Hierarchy'!A:A,'Product Hierarchy'!F:F)</f>
        <v>Mixers</v>
      </c>
      <c r="G48" s="76">
        <v>15.99</v>
      </c>
      <c r="H48" s="76">
        <v>14.39</v>
      </c>
      <c r="I48" s="6">
        <v>10.07</v>
      </c>
      <c r="J48" s="5" t="s">
        <v>26</v>
      </c>
      <c r="K48" s="5">
        <v>16</v>
      </c>
      <c r="L48" s="5">
        <v>16</v>
      </c>
      <c r="M48" s="43"/>
      <c r="N48" s="24">
        <f t="shared" si="1"/>
        <v>0</v>
      </c>
      <c r="O48" s="97"/>
    </row>
    <row r="49" spans="1:15" x14ac:dyDescent="0.25">
      <c r="A49" s="104">
        <v>450062</v>
      </c>
      <c r="B49" s="4" t="s">
        <v>150</v>
      </c>
      <c r="C49" s="4" t="s">
        <v>1471</v>
      </c>
      <c r="D49" s="75" t="str">
        <f>_xlfn.XLOOKUP(B49,'Product Hierarchy'!A:A,'Product Hierarchy'!C:C)</f>
        <v>DEWALT</v>
      </c>
      <c r="E49" s="75" t="str">
        <f>_xlfn.XLOOKUP(B49,'Product Hierarchy'!A:A,'Product Hierarchy'!E:E)</f>
        <v>Drywall Hand Tools</v>
      </c>
      <c r="F49" s="75" t="str">
        <f>_xlfn.XLOOKUP(B49,'Product Hierarchy'!A:A,'Product Hierarchy'!F:F)</f>
        <v>Mixers</v>
      </c>
      <c r="G49" s="76">
        <v>30.49</v>
      </c>
      <c r="H49" s="76">
        <v>27.44</v>
      </c>
      <c r="I49" s="6">
        <v>19.21</v>
      </c>
      <c r="J49" s="5" t="s">
        <v>26</v>
      </c>
      <c r="K49" s="5">
        <v>8</v>
      </c>
      <c r="L49" s="5">
        <v>8</v>
      </c>
      <c r="M49" s="43"/>
      <c r="N49" s="24">
        <f t="shared" si="1"/>
        <v>0</v>
      </c>
      <c r="O49" s="97"/>
    </row>
    <row r="50" spans="1:15" x14ac:dyDescent="0.25">
      <c r="A50" s="104">
        <v>450063</v>
      </c>
      <c r="B50" s="4" t="s">
        <v>151</v>
      </c>
      <c r="C50" s="4" t="s">
        <v>1472</v>
      </c>
      <c r="D50" s="75" t="str">
        <f>_xlfn.XLOOKUP(B50,'Product Hierarchy'!A:A,'Product Hierarchy'!C:C)</f>
        <v>DEWALT</v>
      </c>
      <c r="E50" s="75" t="str">
        <f>_xlfn.XLOOKUP(B50,'Product Hierarchy'!A:A,'Product Hierarchy'!E:E)</f>
        <v>Drywall Hand Tools</v>
      </c>
      <c r="F50" s="75" t="str">
        <f>_xlfn.XLOOKUP(B50,'Product Hierarchy'!A:A,'Product Hierarchy'!F:F)</f>
        <v>Mixers</v>
      </c>
      <c r="G50" s="76">
        <v>13.49</v>
      </c>
      <c r="H50" s="76">
        <v>12.14</v>
      </c>
      <c r="I50" s="6">
        <v>8.5</v>
      </c>
      <c r="J50" s="5" t="s">
        <v>26</v>
      </c>
      <c r="K50" s="5">
        <v>1</v>
      </c>
      <c r="L50" s="5">
        <v>40</v>
      </c>
      <c r="M50" s="43"/>
      <c r="N50" s="24">
        <f t="shared" si="1"/>
        <v>0</v>
      </c>
      <c r="O50" s="97"/>
    </row>
    <row r="51" spans="1:15" x14ac:dyDescent="0.25">
      <c r="A51" s="104">
        <v>450064</v>
      </c>
      <c r="B51" s="4" t="s">
        <v>1636</v>
      </c>
      <c r="C51" s="4" t="s">
        <v>1637</v>
      </c>
      <c r="D51" s="75" t="str">
        <f>_xlfn.XLOOKUP(B51,'Product Hierarchy'!A:A,'Product Hierarchy'!C:C)</f>
        <v>DEWALT</v>
      </c>
      <c r="E51" s="75" t="str">
        <f>_xlfn.XLOOKUP(B51,'Product Hierarchy'!A:A,'Product Hierarchy'!E:E)</f>
        <v>Drywall Hand Tools</v>
      </c>
      <c r="F51" s="75" t="str">
        <f>_xlfn.XLOOKUP(B51,'Product Hierarchy'!A:A,'Product Hierarchy'!F:F)</f>
        <v>T-Square</v>
      </c>
      <c r="G51" s="76">
        <v>32.49</v>
      </c>
      <c r="H51" s="76">
        <v>29.24</v>
      </c>
      <c r="I51" s="6">
        <v>20.47</v>
      </c>
      <c r="J51" s="5" t="s">
        <v>26</v>
      </c>
      <c r="K51" s="5">
        <v>1</v>
      </c>
      <c r="L51" s="5">
        <v>4</v>
      </c>
      <c r="M51" s="45"/>
      <c r="N51" s="7">
        <f t="shared" si="1"/>
        <v>0</v>
      </c>
      <c r="O51" s="97"/>
    </row>
    <row r="52" spans="1:15" x14ac:dyDescent="0.25">
      <c r="A52" s="104">
        <v>450065</v>
      </c>
      <c r="B52" s="4" t="s">
        <v>1661</v>
      </c>
      <c r="C52" s="4" t="s">
        <v>4377</v>
      </c>
      <c r="D52" s="75" t="str">
        <f>_xlfn.XLOOKUP(B52,'Product Hierarchy'!A:A,'Product Hierarchy'!C:C)</f>
        <v>DEWALT</v>
      </c>
      <c r="E52" s="75" t="str">
        <f>_xlfn.XLOOKUP(B52,'Product Hierarchy'!A:A,'Product Hierarchy'!E:E)</f>
        <v>Drywall Semi Auto Tools</v>
      </c>
      <c r="F52" s="75" t="str">
        <f>_xlfn.XLOOKUP(B52,'Product Hierarchy'!A:A,'Product Hierarchy'!F:F)</f>
        <v>Hopper Gun</v>
      </c>
      <c r="G52" s="76">
        <v>151.49</v>
      </c>
      <c r="H52" s="76">
        <v>136.34</v>
      </c>
      <c r="I52" s="6">
        <v>95.44</v>
      </c>
      <c r="J52" s="5" t="s">
        <v>26</v>
      </c>
      <c r="K52" s="5">
        <v>1</v>
      </c>
      <c r="L52" s="5">
        <v>2</v>
      </c>
      <c r="M52" s="45"/>
      <c r="N52" s="7">
        <f t="shared" si="1"/>
        <v>0</v>
      </c>
      <c r="O52" s="97"/>
    </row>
    <row r="53" spans="1:15" x14ac:dyDescent="0.25">
      <c r="A53" s="104">
        <v>450066</v>
      </c>
      <c r="B53" s="4" t="s">
        <v>1664</v>
      </c>
      <c r="C53" s="4" t="s">
        <v>1665</v>
      </c>
      <c r="D53" s="75" t="str">
        <f>_xlfn.XLOOKUP(B53,'Product Hierarchy'!A:A,'Product Hierarchy'!C:C)</f>
        <v>DEWALT</v>
      </c>
      <c r="E53" s="75" t="str">
        <f>_xlfn.XLOOKUP(B53,'Product Hierarchy'!A:A,'Product Hierarchy'!E:E)</f>
        <v>Drywall Semi Auto Tools</v>
      </c>
      <c r="F53" s="75" t="str">
        <f>_xlfn.XLOOKUP(B53,'Product Hierarchy'!A:A,'Product Hierarchy'!F:F)</f>
        <v>Hopper Gun</v>
      </c>
      <c r="G53" s="76">
        <v>16.489999999999998</v>
      </c>
      <c r="H53" s="76">
        <v>14.84</v>
      </c>
      <c r="I53" s="6">
        <v>10.39</v>
      </c>
      <c r="J53" s="5" t="s">
        <v>26</v>
      </c>
      <c r="K53" s="5">
        <v>6</v>
      </c>
      <c r="L53" s="5">
        <v>24</v>
      </c>
      <c r="M53" s="45"/>
      <c r="N53" s="7">
        <f t="shared" si="1"/>
        <v>0</v>
      </c>
      <c r="O53" s="97"/>
    </row>
    <row r="54" spans="1:15" x14ac:dyDescent="0.25">
      <c r="A54" s="104">
        <v>450068</v>
      </c>
      <c r="B54" s="4" t="s">
        <v>152</v>
      </c>
      <c r="C54" s="4" t="s">
        <v>1408</v>
      </c>
      <c r="D54" s="75" t="str">
        <f>_xlfn.XLOOKUP(B54,'Product Hierarchy'!A:A,'Product Hierarchy'!C:C)</f>
        <v>DEWALT</v>
      </c>
      <c r="E54" s="75" t="str">
        <f>_xlfn.XLOOKUP(B54,'Product Hierarchy'!A:A,'Product Hierarchy'!E:E)</f>
        <v>Drywall Hand Tools</v>
      </c>
      <c r="F54" s="75" t="str">
        <f>_xlfn.XLOOKUP(B54,'Product Hierarchy'!A:A,'Product Hierarchy'!F:F)</f>
        <v>Hawks</v>
      </c>
      <c r="G54" s="76">
        <v>52.49</v>
      </c>
      <c r="H54" s="76">
        <v>47.24</v>
      </c>
      <c r="I54" s="6">
        <v>33.07</v>
      </c>
      <c r="J54" s="5" t="s">
        <v>26</v>
      </c>
      <c r="K54" s="5">
        <v>4</v>
      </c>
      <c r="L54" s="5">
        <v>4</v>
      </c>
      <c r="M54" s="43"/>
      <c r="N54" s="24">
        <f t="shared" si="1"/>
        <v>0</v>
      </c>
      <c r="O54" s="97"/>
    </row>
    <row r="55" spans="1:15" x14ac:dyDescent="0.25">
      <c r="A55" s="104">
        <v>450069</v>
      </c>
      <c r="B55" s="4" t="s">
        <v>556</v>
      </c>
      <c r="C55" s="4" t="s">
        <v>1410</v>
      </c>
      <c r="D55" s="75" t="str">
        <f>_xlfn.XLOOKUP(B55,'Product Hierarchy'!A:A,'Product Hierarchy'!C:C)</f>
        <v>DEWALT</v>
      </c>
      <c r="E55" s="75" t="str">
        <f>_xlfn.XLOOKUP(B55,'Product Hierarchy'!A:A,'Product Hierarchy'!E:E)</f>
        <v>Drywall Hand Tools</v>
      </c>
      <c r="F55" s="75" t="str">
        <f>_xlfn.XLOOKUP(B55,'Product Hierarchy'!A:A,'Product Hierarchy'!F:F)</f>
        <v>Hawks</v>
      </c>
      <c r="G55" s="76">
        <v>63.99</v>
      </c>
      <c r="H55" s="76">
        <v>57.59</v>
      </c>
      <c r="I55" s="6">
        <v>40.31</v>
      </c>
      <c r="J55" s="5" t="s">
        <v>26</v>
      </c>
      <c r="K55" s="5">
        <v>1</v>
      </c>
      <c r="L55" s="5">
        <v>4</v>
      </c>
      <c r="M55" s="43"/>
      <c r="N55" s="24">
        <f t="shared" si="1"/>
        <v>0</v>
      </c>
      <c r="O55" s="97"/>
    </row>
    <row r="56" spans="1:15" x14ac:dyDescent="0.25">
      <c r="A56" s="104">
        <v>450326</v>
      </c>
      <c r="B56" s="4" t="s">
        <v>3383</v>
      </c>
      <c r="C56" s="4" t="s">
        <v>4372</v>
      </c>
      <c r="D56" s="75" t="str">
        <f>_xlfn.XLOOKUP(B56,'Product Hierarchy'!A:A,'Product Hierarchy'!C:C)</f>
        <v>DEWALT</v>
      </c>
      <c r="E56" s="75" t="str">
        <f>_xlfn.XLOOKUP(B56,'Product Hierarchy'!A:A,'Product Hierarchy'!E:E)</f>
        <v>Drywall Hand Tools</v>
      </c>
      <c r="F56" s="75" t="str">
        <f>_xlfn.XLOOKUP(B56,'Product Hierarchy'!A:A,'Product Hierarchy'!F:F)</f>
        <v>Mud Pans</v>
      </c>
      <c r="G56" s="76">
        <v>26.49</v>
      </c>
      <c r="H56" s="76">
        <v>23.84</v>
      </c>
      <c r="I56" s="6">
        <v>16.690000000000001</v>
      </c>
      <c r="J56" s="5" t="s">
        <v>26</v>
      </c>
      <c r="K56" s="5">
        <v>6</v>
      </c>
      <c r="L56" s="5">
        <v>12</v>
      </c>
      <c r="M56" s="43"/>
      <c r="N56" s="24">
        <f t="shared" si="1"/>
        <v>0</v>
      </c>
      <c r="O56" s="97"/>
    </row>
    <row r="57" spans="1:15" x14ac:dyDescent="0.25">
      <c r="A57" s="104">
        <v>450071</v>
      </c>
      <c r="B57" s="4" t="s">
        <v>154</v>
      </c>
      <c r="C57" s="4" t="s">
        <v>4371</v>
      </c>
      <c r="D57" s="75" t="str">
        <f>_xlfn.XLOOKUP(B57,'Product Hierarchy'!A:A,'Product Hierarchy'!C:C)</f>
        <v>DEWALT</v>
      </c>
      <c r="E57" s="75" t="str">
        <f>_xlfn.XLOOKUP(B57,'Product Hierarchy'!A:A,'Product Hierarchy'!E:E)</f>
        <v>Drywall Hand Tools</v>
      </c>
      <c r="F57" s="75" t="str">
        <f>_xlfn.XLOOKUP(B57,'Product Hierarchy'!A:A,'Product Hierarchy'!F:F)</f>
        <v>Mud Pans</v>
      </c>
      <c r="G57" s="76">
        <v>27.99</v>
      </c>
      <c r="H57" s="76">
        <v>25.19</v>
      </c>
      <c r="I57" s="6">
        <v>17.63</v>
      </c>
      <c r="J57" s="5" t="s">
        <v>26</v>
      </c>
      <c r="K57" s="5">
        <v>6</v>
      </c>
      <c r="L57" s="5">
        <v>12</v>
      </c>
      <c r="M57" s="43"/>
      <c r="N57" s="24">
        <f t="shared" si="1"/>
        <v>0</v>
      </c>
      <c r="O57" s="97"/>
    </row>
    <row r="58" spans="1:15" x14ac:dyDescent="0.25">
      <c r="A58" s="104">
        <v>450072</v>
      </c>
      <c r="B58" s="4" t="s">
        <v>155</v>
      </c>
      <c r="C58" s="4" t="s">
        <v>4370</v>
      </c>
      <c r="D58" s="75" t="str">
        <f>_xlfn.XLOOKUP(B58,'Product Hierarchy'!A:A,'Product Hierarchy'!C:C)</f>
        <v>DEWALT</v>
      </c>
      <c r="E58" s="75" t="str">
        <f>_xlfn.XLOOKUP(B58,'Product Hierarchy'!A:A,'Product Hierarchy'!E:E)</f>
        <v>Drywall Hand Tools</v>
      </c>
      <c r="F58" s="75" t="str">
        <f>_xlfn.XLOOKUP(B58,'Product Hierarchy'!A:A,'Product Hierarchy'!F:F)</f>
        <v>Mud Pans</v>
      </c>
      <c r="G58" s="76">
        <v>29.49</v>
      </c>
      <c r="H58" s="76">
        <v>26.54</v>
      </c>
      <c r="I58" s="6">
        <v>18.579999999999998</v>
      </c>
      <c r="J58" s="5" t="s">
        <v>26</v>
      </c>
      <c r="K58" s="5">
        <v>6</v>
      </c>
      <c r="L58" s="5">
        <v>12</v>
      </c>
      <c r="M58" s="43"/>
      <c r="N58" s="24">
        <f t="shared" si="1"/>
        <v>0</v>
      </c>
      <c r="O58" s="97"/>
    </row>
    <row r="59" spans="1:15" x14ac:dyDescent="0.25">
      <c r="A59" s="104">
        <v>450073</v>
      </c>
      <c r="B59" s="4" t="s">
        <v>1486</v>
      </c>
      <c r="C59" s="4" t="s">
        <v>1487</v>
      </c>
      <c r="D59" s="75" t="str">
        <f>_xlfn.XLOOKUP(B59,'Product Hierarchy'!A:A,'Product Hierarchy'!C:C)</f>
        <v>DEWALT</v>
      </c>
      <c r="E59" s="75" t="str">
        <f>_xlfn.XLOOKUP(B59,'Product Hierarchy'!A:A,'Product Hierarchy'!E:E)</f>
        <v>Drywall Hand Tools</v>
      </c>
      <c r="F59" s="75" t="str">
        <f>_xlfn.XLOOKUP(B59,'Product Hierarchy'!A:A,'Product Hierarchy'!F:F)</f>
        <v>Radial Sanders</v>
      </c>
      <c r="G59" s="76">
        <v>43.49</v>
      </c>
      <c r="H59" s="76">
        <v>39.14</v>
      </c>
      <c r="I59" s="6">
        <v>27.4</v>
      </c>
      <c r="J59" s="5" t="s">
        <v>26</v>
      </c>
      <c r="K59" s="5">
        <v>4</v>
      </c>
      <c r="L59" s="5">
        <v>24</v>
      </c>
      <c r="M59" s="45"/>
      <c r="N59" s="7">
        <f t="shared" si="1"/>
        <v>0</v>
      </c>
      <c r="O59" s="97"/>
    </row>
    <row r="60" spans="1:15" x14ac:dyDescent="0.25">
      <c r="A60" s="104">
        <v>450074</v>
      </c>
      <c r="B60" s="4" t="s">
        <v>1522</v>
      </c>
      <c r="C60" s="4" t="s">
        <v>1523</v>
      </c>
      <c r="D60" s="75" t="str">
        <f>_xlfn.XLOOKUP(B60,'Product Hierarchy'!A:A,'Product Hierarchy'!C:C)</f>
        <v>DEWALT</v>
      </c>
      <c r="E60" s="75" t="str">
        <f>_xlfn.XLOOKUP(B60,'Product Hierarchy'!A:A,'Product Hierarchy'!E:E)</f>
        <v>Drywall Hand Tools</v>
      </c>
      <c r="F60" s="75" t="str">
        <f>_xlfn.XLOOKUP(B60,'Product Hierarchy'!A:A,'Product Hierarchy'!F:F)</f>
        <v>Sanding Discs</v>
      </c>
      <c r="G60" s="76">
        <v>21.99</v>
      </c>
      <c r="H60" s="76">
        <v>19.79</v>
      </c>
      <c r="I60" s="6">
        <v>13.85</v>
      </c>
      <c r="J60" s="5" t="s">
        <v>26</v>
      </c>
      <c r="K60" s="5">
        <v>6</v>
      </c>
      <c r="L60" s="5">
        <v>24</v>
      </c>
      <c r="M60" s="45"/>
      <c r="N60" s="7">
        <f t="shared" si="1"/>
        <v>0</v>
      </c>
      <c r="O60" s="97"/>
    </row>
    <row r="61" spans="1:15" x14ac:dyDescent="0.25">
      <c r="A61" s="104">
        <v>450075</v>
      </c>
      <c r="B61" s="4" t="s">
        <v>1525</v>
      </c>
      <c r="C61" s="4" t="s">
        <v>1526</v>
      </c>
      <c r="D61" s="75" t="str">
        <f>_xlfn.XLOOKUP(B61,'Product Hierarchy'!A:A,'Product Hierarchy'!C:C)</f>
        <v>DEWALT</v>
      </c>
      <c r="E61" s="75" t="str">
        <f>_xlfn.XLOOKUP(B61,'Product Hierarchy'!A:A,'Product Hierarchy'!E:E)</f>
        <v>Drywall Hand Tools</v>
      </c>
      <c r="F61" s="75" t="str">
        <f>_xlfn.XLOOKUP(B61,'Product Hierarchy'!A:A,'Product Hierarchy'!F:F)</f>
        <v>Sanding Discs</v>
      </c>
      <c r="G61" s="76">
        <v>21.99</v>
      </c>
      <c r="H61" s="76">
        <v>19.79</v>
      </c>
      <c r="I61" s="6">
        <v>13.85</v>
      </c>
      <c r="J61" s="5" t="s">
        <v>26</v>
      </c>
      <c r="K61" s="5">
        <v>6</v>
      </c>
      <c r="L61" s="5">
        <v>24</v>
      </c>
      <c r="M61" s="45"/>
      <c r="N61" s="7">
        <f t="shared" si="1"/>
        <v>0</v>
      </c>
      <c r="O61" s="97"/>
    </row>
    <row r="62" spans="1:15" x14ac:dyDescent="0.25">
      <c r="A62" s="104">
        <v>450076</v>
      </c>
      <c r="B62" s="4" t="s">
        <v>1527</v>
      </c>
      <c r="C62" s="4" t="s">
        <v>1528</v>
      </c>
      <c r="D62" s="75" t="str">
        <f>_xlfn.XLOOKUP(B62,'Product Hierarchy'!A:A,'Product Hierarchy'!C:C)</f>
        <v>DEWALT</v>
      </c>
      <c r="E62" s="75" t="str">
        <f>_xlfn.XLOOKUP(B62,'Product Hierarchy'!A:A,'Product Hierarchy'!E:E)</f>
        <v>Drywall Hand Tools</v>
      </c>
      <c r="F62" s="75" t="str">
        <f>_xlfn.XLOOKUP(B62,'Product Hierarchy'!A:A,'Product Hierarchy'!F:F)</f>
        <v>Sanding Discs</v>
      </c>
      <c r="G62" s="76">
        <v>21.99</v>
      </c>
      <c r="H62" s="76">
        <v>19.79</v>
      </c>
      <c r="I62" s="6">
        <v>13.85</v>
      </c>
      <c r="J62" s="5" t="s">
        <v>26</v>
      </c>
      <c r="K62" s="5">
        <v>6</v>
      </c>
      <c r="L62" s="5">
        <v>24</v>
      </c>
      <c r="M62" s="45"/>
      <c r="N62" s="7">
        <f t="shared" si="1"/>
        <v>0</v>
      </c>
      <c r="O62" s="97"/>
    </row>
    <row r="63" spans="1:15" x14ac:dyDescent="0.25">
      <c r="A63" s="104">
        <v>450077</v>
      </c>
      <c r="B63" s="4" t="s">
        <v>557</v>
      </c>
      <c r="C63" s="4" t="s">
        <v>1567</v>
      </c>
      <c r="D63" s="75" t="str">
        <f>_xlfn.XLOOKUP(B63,'Product Hierarchy'!A:A,'Product Hierarchy'!C:C)</f>
        <v>DEWALT</v>
      </c>
      <c r="E63" s="75" t="str">
        <f>_xlfn.XLOOKUP(B63,'Product Hierarchy'!A:A,'Product Hierarchy'!E:E)</f>
        <v>Drywall Hand Tools</v>
      </c>
      <c r="F63" s="75" t="str">
        <f>_xlfn.XLOOKUP(B63,'Product Hierarchy'!A:A,'Product Hierarchy'!F:F)</f>
        <v>Taping Knives</v>
      </c>
      <c r="G63" s="76">
        <v>33.99</v>
      </c>
      <c r="H63" s="76">
        <v>30.59</v>
      </c>
      <c r="I63" s="6">
        <v>21.41</v>
      </c>
      <c r="J63" s="5" t="s">
        <v>26</v>
      </c>
      <c r="K63" s="5">
        <v>4</v>
      </c>
      <c r="L63" s="5">
        <v>48</v>
      </c>
      <c r="M63" s="43"/>
      <c r="N63" s="24">
        <f t="shared" si="1"/>
        <v>0</v>
      </c>
      <c r="O63" s="97"/>
    </row>
    <row r="64" spans="1:15" x14ac:dyDescent="0.25">
      <c r="A64" s="104">
        <v>450078</v>
      </c>
      <c r="B64" s="4" t="s">
        <v>558</v>
      </c>
      <c r="C64" s="4" t="s">
        <v>1568</v>
      </c>
      <c r="D64" s="75" t="str">
        <f>_xlfn.XLOOKUP(B64,'Product Hierarchy'!A:A,'Product Hierarchy'!C:C)</f>
        <v>DEWALT</v>
      </c>
      <c r="E64" s="75" t="str">
        <f>_xlfn.XLOOKUP(B64,'Product Hierarchy'!A:A,'Product Hierarchy'!E:E)</f>
        <v>Drywall Hand Tools</v>
      </c>
      <c r="F64" s="75" t="str">
        <f>_xlfn.XLOOKUP(B64,'Product Hierarchy'!A:A,'Product Hierarchy'!F:F)</f>
        <v>Taping Knives</v>
      </c>
      <c r="G64" s="76">
        <v>33.99</v>
      </c>
      <c r="H64" s="76">
        <v>30.59</v>
      </c>
      <c r="I64" s="6">
        <v>21.41</v>
      </c>
      <c r="J64" s="5" t="s">
        <v>26</v>
      </c>
      <c r="K64" s="5">
        <v>4</v>
      </c>
      <c r="L64" s="5">
        <v>48</v>
      </c>
      <c r="M64" s="43"/>
      <c r="N64" s="24">
        <f t="shared" si="1"/>
        <v>0</v>
      </c>
      <c r="O64" s="97"/>
    </row>
    <row r="65" spans="1:15" x14ac:dyDescent="0.25">
      <c r="A65" s="104">
        <v>450079</v>
      </c>
      <c r="B65" s="4" t="s">
        <v>559</v>
      </c>
      <c r="C65" s="4" t="s">
        <v>1569</v>
      </c>
      <c r="D65" s="75" t="str">
        <f>_xlfn.XLOOKUP(B65,'Product Hierarchy'!A:A,'Product Hierarchy'!C:C)</f>
        <v>DEWALT</v>
      </c>
      <c r="E65" s="75" t="str">
        <f>_xlfn.XLOOKUP(B65,'Product Hierarchy'!A:A,'Product Hierarchy'!E:E)</f>
        <v>Drywall Hand Tools</v>
      </c>
      <c r="F65" s="75" t="str">
        <f>_xlfn.XLOOKUP(B65,'Product Hierarchy'!A:A,'Product Hierarchy'!F:F)</f>
        <v>Taping Knives</v>
      </c>
      <c r="G65" s="76">
        <v>36.49</v>
      </c>
      <c r="H65" s="76">
        <v>32.840000000000003</v>
      </c>
      <c r="I65" s="6">
        <v>22.99</v>
      </c>
      <c r="J65" s="5" t="s">
        <v>26</v>
      </c>
      <c r="K65" s="5">
        <v>4</v>
      </c>
      <c r="L65" s="5">
        <v>48</v>
      </c>
      <c r="M65" s="43"/>
      <c r="N65" s="24">
        <f t="shared" si="1"/>
        <v>0</v>
      </c>
      <c r="O65" s="97"/>
    </row>
    <row r="66" spans="1:15" x14ac:dyDescent="0.25">
      <c r="A66" s="104">
        <v>450080</v>
      </c>
      <c r="B66" s="4" t="s">
        <v>560</v>
      </c>
      <c r="C66" s="4" t="s">
        <v>1570</v>
      </c>
      <c r="D66" s="75" t="str">
        <f>_xlfn.XLOOKUP(B66,'Product Hierarchy'!A:A,'Product Hierarchy'!C:C)</f>
        <v>DEWALT</v>
      </c>
      <c r="E66" s="75" t="str">
        <f>_xlfn.XLOOKUP(B66,'Product Hierarchy'!A:A,'Product Hierarchy'!E:E)</f>
        <v>Drywall Hand Tools</v>
      </c>
      <c r="F66" s="75" t="str">
        <f>_xlfn.XLOOKUP(B66,'Product Hierarchy'!A:A,'Product Hierarchy'!F:F)</f>
        <v>Taping Knives</v>
      </c>
      <c r="G66" s="76">
        <v>36.49</v>
      </c>
      <c r="H66" s="76">
        <v>32.840000000000003</v>
      </c>
      <c r="I66" s="6">
        <v>22.99</v>
      </c>
      <c r="J66" s="5" t="s">
        <v>26</v>
      </c>
      <c r="K66" s="5">
        <v>4</v>
      </c>
      <c r="L66" s="5">
        <v>48</v>
      </c>
      <c r="M66" s="43"/>
      <c r="N66" s="24">
        <f t="shared" si="1"/>
        <v>0</v>
      </c>
      <c r="O66" s="97"/>
    </row>
    <row r="67" spans="1:15" x14ac:dyDescent="0.25">
      <c r="A67" s="104">
        <v>450081</v>
      </c>
      <c r="B67" s="4" t="s">
        <v>561</v>
      </c>
      <c r="C67" s="4" t="s">
        <v>1571</v>
      </c>
      <c r="D67" s="75" t="str">
        <f>_xlfn.XLOOKUP(B67,'Product Hierarchy'!A:A,'Product Hierarchy'!C:C)</f>
        <v>DEWALT</v>
      </c>
      <c r="E67" s="75" t="str">
        <f>_xlfn.XLOOKUP(B67,'Product Hierarchy'!A:A,'Product Hierarchy'!E:E)</f>
        <v>Drywall Hand Tools</v>
      </c>
      <c r="F67" s="75" t="str">
        <f>_xlfn.XLOOKUP(B67,'Product Hierarchy'!A:A,'Product Hierarchy'!F:F)</f>
        <v>Taping Knives</v>
      </c>
      <c r="G67" s="76">
        <v>38.49</v>
      </c>
      <c r="H67" s="76">
        <v>34.64</v>
      </c>
      <c r="I67" s="6">
        <v>24.25</v>
      </c>
      <c r="J67" s="5" t="s">
        <v>26</v>
      </c>
      <c r="K67" s="5">
        <v>4</v>
      </c>
      <c r="L67" s="5">
        <v>48</v>
      </c>
      <c r="M67" s="43"/>
      <c r="N67" s="24">
        <f t="shared" si="1"/>
        <v>0</v>
      </c>
      <c r="O67" s="97"/>
    </row>
    <row r="68" spans="1:15" x14ac:dyDescent="0.25">
      <c r="A68" s="104">
        <v>450082</v>
      </c>
      <c r="B68" s="4" t="s">
        <v>562</v>
      </c>
      <c r="C68" s="4" t="s">
        <v>1572</v>
      </c>
      <c r="D68" s="75" t="str">
        <f>_xlfn.XLOOKUP(B68,'Product Hierarchy'!A:A,'Product Hierarchy'!C:C)</f>
        <v>DEWALT</v>
      </c>
      <c r="E68" s="75" t="str">
        <f>_xlfn.XLOOKUP(B68,'Product Hierarchy'!A:A,'Product Hierarchy'!E:E)</f>
        <v>Drywall Hand Tools</v>
      </c>
      <c r="F68" s="75" t="str">
        <f>_xlfn.XLOOKUP(B68,'Product Hierarchy'!A:A,'Product Hierarchy'!F:F)</f>
        <v>Taping Knives</v>
      </c>
      <c r="G68" s="76">
        <v>38.49</v>
      </c>
      <c r="H68" s="76">
        <v>34.64</v>
      </c>
      <c r="I68" s="6">
        <v>24.25</v>
      </c>
      <c r="J68" s="5" t="s">
        <v>26</v>
      </c>
      <c r="K68" s="5">
        <v>4</v>
      </c>
      <c r="L68" s="5">
        <v>48</v>
      </c>
      <c r="M68" s="43"/>
      <c r="N68" s="24">
        <f t="shared" si="1"/>
        <v>0</v>
      </c>
      <c r="O68" s="97"/>
    </row>
    <row r="69" spans="1:15" x14ac:dyDescent="0.25">
      <c r="A69" s="104">
        <v>450083</v>
      </c>
      <c r="B69" s="4" t="s">
        <v>563</v>
      </c>
      <c r="C69" s="4" t="s">
        <v>1573</v>
      </c>
      <c r="D69" s="75" t="str">
        <f>_xlfn.XLOOKUP(B69,'Product Hierarchy'!A:A,'Product Hierarchy'!C:C)</f>
        <v>DEWALT</v>
      </c>
      <c r="E69" s="75" t="str">
        <f>_xlfn.XLOOKUP(B69,'Product Hierarchy'!A:A,'Product Hierarchy'!E:E)</f>
        <v>Drywall Hand Tools</v>
      </c>
      <c r="F69" s="75" t="str">
        <f>_xlfn.XLOOKUP(B69,'Product Hierarchy'!A:A,'Product Hierarchy'!F:F)</f>
        <v>Taping Knives</v>
      </c>
      <c r="G69" s="76">
        <v>40.99</v>
      </c>
      <c r="H69" s="76">
        <v>36.89</v>
      </c>
      <c r="I69" s="6">
        <v>25.82</v>
      </c>
      <c r="J69" s="5" t="s">
        <v>26</v>
      </c>
      <c r="K69" s="5">
        <v>4</v>
      </c>
      <c r="L69" s="5">
        <v>48</v>
      </c>
      <c r="M69" s="43"/>
      <c r="N69" s="24">
        <f t="shared" si="1"/>
        <v>0</v>
      </c>
      <c r="O69" s="97"/>
    </row>
    <row r="70" spans="1:15" x14ac:dyDescent="0.25">
      <c r="A70" s="104">
        <v>450084</v>
      </c>
      <c r="B70" s="4" t="s">
        <v>564</v>
      </c>
      <c r="C70" s="4" t="s">
        <v>1574</v>
      </c>
      <c r="D70" s="75" t="str">
        <f>_xlfn.XLOOKUP(B70,'Product Hierarchy'!A:A,'Product Hierarchy'!C:C)</f>
        <v>DEWALT</v>
      </c>
      <c r="E70" s="75" t="str">
        <f>_xlfn.XLOOKUP(B70,'Product Hierarchy'!A:A,'Product Hierarchy'!E:E)</f>
        <v>Drywall Hand Tools</v>
      </c>
      <c r="F70" s="75" t="str">
        <f>_xlfn.XLOOKUP(B70,'Product Hierarchy'!A:A,'Product Hierarchy'!F:F)</f>
        <v>Taping Knives</v>
      </c>
      <c r="G70" s="76">
        <v>40.99</v>
      </c>
      <c r="H70" s="76">
        <v>36.89</v>
      </c>
      <c r="I70" s="6">
        <v>25.82</v>
      </c>
      <c r="J70" s="5" t="s">
        <v>26</v>
      </c>
      <c r="K70" s="5">
        <v>4</v>
      </c>
      <c r="L70" s="5">
        <v>48</v>
      </c>
      <c r="M70" s="43"/>
      <c r="N70" s="24">
        <f t="shared" si="1"/>
        <v>0</v>
      </c>
      <c r="O70" s="97"/>
    </row>
    <row r="71" spans="1:15" x14ac:dyDescent="0.25">
      <c r="A71" s="104">
        <v>450085</v>
      </c>
      <c r="B71" s="4" t="s">
        <v>565</v>
      </c>
      <c r="C71" s="4" t="s">
        <v>1575</v>
      </c>
      <c r="D71" s="75" t="str">
        <f>_xlfn.XLOOKUP(B71,'Product Hierarchy'!A:A,'Product Hierarchy'!C:C)</f>
        <v>DEWALT</v>
      </c>
      <c r="E71" s="75" t="str">
        <f>_xlfn.XLOOKUP(B71,'Product Hierarchy'!A:A,'Product Hierarchy'!E:E)</f>
        <v>Drywall Hand Tools</v>
      </c>
      <c r="F71" s="75" t="str">
        <f>_xlfn.XLOOKUP(B71,'Product Hierarchy'!A:A,'Product Hierarchy'!F:F)</f>
        <v>Taping Knives</v>
      </c>
      <c r="G71" s="76">
        <v>43.49</v>
      </c>
      <c r="H71" s="76">
        <v>39.14</v>
      </c>
      <c r="I71" s="6">
        <v>27.4</v>
      </c>
      <c r="J71" s="5" t="s">
        <v>26</v>
      </c>
      <c r="K71" s="5">
        <v>4</v>
      </c>
      <c r="L71" s="5">
        <v>24</v>
      </c>
      <c r="M71" s="43"/>
      <c r="N71" s="24">
        <f t="shared" si="1"/>
        <v>0</v>
      </c>
      <c r="O71" s="97"/>
    </row>
    <row r="72" spans="1:15" x14ac:dyDescent="0.25">
      <c r="A72" s="104">
        <v>450086</v>
      </c>
      <c r="B72" s="4" t="s">
        <v>566</v>
      </c>
      <c r="C72" s="4" t="s">
        <v>1576</v>
      </c>
      <c r="D72" s="75" t="str">
        <f>_xlfn.XLOOKUP(B72,'Product Hierarchy'!A:A,'Product Hierarchy'!C:C)</f>
        <v>DEWALT</v>
      </c>
      <c r="E72" s="75" t="str">
        <f>_xlfn.XLOOKUP(B72,'Product Hierarchy'!A:A,'Product Hierarchy'!E:E)</f>
        <v>Drywall Hand Tools</v>
      </c>
      <c r="F72" s="75" t="str">
        <f>_xlfn.XLOOKUP(B72,'Product Hierarchy'!A:A,'Product Hierarchy'!F:F)</f>
        <v>Taping Knives</v>
      </c>
      <c r="G72" s="76">
        <v>43.49</v>
      </c>
      <c r="H72" s="76">
        <v>39.14</v>
      </c>
      <c r="I72" s="6">
        <v>27.4</v>
      </c>
      <c r="J72" s="5" t="s">
        <v>26</v>
      </c>
      <c r="K72" s="5">
        <v>4</v>
      </c>
      <c r="L72" s="5">
        <v>24</v>
      </c>
      <c r="M72" s="43"/>
      <c r="N72" s="24">
        <f t="shared" si="1"/>
        <v>0</v>
      </c>
      <c r="O72" s="97"/>
    </row>
    <row r="73" spans="1:15" x14ac:dyDescent="0.25">
      <c r="A73" s="104">
        <v>450087</v>
      </c>
      <c r="B73" s="4" t="s">
        <v>567</v>
      </c>
      <c r="C73" s="4" t="s">
        <v>1577</v>
      </c>
      <c r="D73" s="75" t="str">
        <f>_xlfn.XLOOKUP(B73,'Product Hierarchy'!A:A,'Product Hierarchy'!C:C)</f>
        <v>DEWALT</v>
      </c>
      <c r="E73" s="75" t="str">
        <f>_xlfn.XLOOKUP(B73,'Product Hierarchy'!A:A,'Product Hierarchy'!E:E)</f>
        <v>Drywall Hand Tools</v>
      </c>
      <c r="F73" s="75" t="str">
        <f>_xlfn.XLOOKUP(B73,'Product Hierarchy'!A:A,'Product Hierarchy'!F:F)</f>
        <v>Taping Knives</v>
      </c>
      <c r="G73" s="76">
        <v>45.49</v>
      </c>
      <c r="H73" s="76">
        <v>40.94</v>
      </c>
      <c r="I73" s="6">
        <v>28.66</v>
      </c>
      <c r="J73" s="5" t="s">
        <v>26</v>
      </c>
      <c r="K73" s="5">
        <v>4</v>
      </c>
      <c r="L73" s="5">
        <v>24</v>
      </c>
      <c r="M73" s="43"/>
      <c r="N73" s="24">
        <f t="shared" si="1"/>
        <v>0</v>
      </c>
      <c r="O73" s="97"/>
    </row>
    <row r="74" spans="1:15" x14ac:dyDescent="0.25">
      <c r="A74" s="104">
        <v>450088</v>
      </c>
      <c r="B74" s="4" t="s">
        <v>568</v>
      </c>
      <c r="C74" s="4" t="s">
        <v>1578</v>
      </c>
      <c r="D74" s="75" t="str">
        <f>_xlfn.XLOOKUP(B74,'Product Hierarchy'!A:A,'Product Hierarchy'!C:C)</f>
        <v>DEWALT</v>
      </c>
      <c r="E74" s="75" t="str">
        <f>_xlfn.XLOOKUP(B74,'Product Hierarchy'!A:A,'Product Hierarchy'!E:E)</f>
        <v>Drywall Hand Tools</v>
      </c>
      <c r="F74" s="75" t="str">
        <f>_xlfn.XLOOKUP(B74,'Product Hierarchy'!A:A,'Product Hierarchy'!F:F)</f>
        <v>Taping Knives</v>
      </c>
      <c r="G74" s="76">
        <v>45.49</v>
      </c>
      <c r="H74" s="76">
        <v>40.94</v>
      </c>
      <c r="I74" s="6">
        <v>28.66</v>
      </c>
      <c r="J74" s="5" t="s">
        <v>26</v>
      </c>
      <c r="K74" s="5">
        <v>4</v>
      </c>
      <c r="L74" s="5">
        <v>24</v>
      </c>
      <c r="M74" s="43"/>
      <c r="N74" s="24">
        <f t="shared" si="1"/>
        <v>0</v>
      </c>
      <c r="O74" s="97"/>
    </row>
    <row r="75" spans="1:15" x14ac:dyDescent="0.25">
      <c r="A75" s="104">
        <v>450089</v>
      </c>
      <c r="B75" s="4" t="s">
        <v>569</v>
      </c>
      <c r="C75" s="4" t="s">
        <v>1579</v>
      </c>
      <c r="D75" s="75" t="str">
        <f>_xlfn.XLOOKUP(B75,'Product Hierarchy'!A:A,'Product Hierarchy'!C:C)</f>
        <v>DEWALT</v>
      </c>
      <c r="E75" s="75" t="str">
        <f>_xlfn.XLOOKUP(B75,'Product Hierarchy'!A:A,'Product Hierarchy'!E:E)</f>
        <v>Drywall Hand Tools</v>
      </c>
      <c r="F75" s="75" t="str">
        <f>_xlfn.XLOOKUP(B75,'Product Hierarchy'!A:A,'Product Hierarchy'!F:F)</f>
        <v>Taping Knives</v>
      </c>
      <c r="G75" s="76">
        <v>7.99</v>
      </c>
      <c r="H75" s="76">
        <v>7.19</v>
      </c>
      <c r="I75" s="6">
        <v>5.03</v>
      </c>
      <c r="J75" s="5" t="s">
        <v>26</v>
      </c>
      <c r="K75" s="5">
        <v>1</v>
      </c>
      <c r="L75" s="5">
        <v>48</v>
      </c>
      <c r="M75" s="43"/>
      <c r="N75" s="24">
        <f t="shared" si="1"/>
        <v>0</v>
      </c>
      <c r="O75" s="97"/>
    </row>
    <row r="76" spans="1:15" x14ac:dyDescent="0.25">
      <c r="A76" s="104">
        <v>450090</v>
      </c>
      <c r="B76" s="4" t="s">
        <v>156</v>
      </c>
      <c r="C76" s="4" t="s">
        <v>1431</v>
      </c>
      <c r="D76" s="75" t="str">
        <f>_xlfn.XLOOKUP(B76,'Product Hierarchy'!A:A,'Product Hierarchy'!C:C)</f>
        <v>DEWALT</v>
      </c>
      <c r="E76" s="75" t="str">
        <f>_xlfn.XLOOKUP(B76,'Product Hierarchy'!A:A,'Product Hierarchy'!E:E)</f>
        <v>Drywall Hand Tools</v>
      </c>
      <c r="F76" s="75" t="str">
        <f>_xlfn.XLOOKUP(B76,'Product Hierarchy'!A:A,'Product Hierarchy'!F:F)</f>
        <v>Joint Knives</v>
      </c>
      <c r="G76" s="76">
        <v>18.489999999999998</v>
      </c>
      <c r="H76" s="76">
        <v>16.64</v>
      </c>
      <c r="I76" s="6">
        <v>11.65</v>
      </c>
      <c r="J76" s="5" t="s">
        <v>26</v>
      </c>
      <c r="K76" s="5">
        <v>8</v>
      </c>
      <c r="L76" s="5">
        <v>48</v>
      </c>
      <c r="M76" s="43"/>
      <c r="N76" s="24">
        <f t="shared" ref="N76:N111" si="2">M76*I76</f>
        <v>0</v>
      </c>
      <c r="O76" s="97"/>
    </row>
    <row r="77" spans="1:15" x14ac:dyDescent="0.25">
      <c r="A77" s="104">
        <v>450091</v>
      </c>
      <c r="B77" s="4" t="s">
        <v>157</v>
      </c>
      <c r="C77" s="4" t="s">
        <v>1432</v>
      </c>
      <c r="D77" s="75" t="str">
        <f>_xlfn.XLOOKUP(B77,'Product Hierarchy'!A:A,'Product Hierarchy'!C:C)</f>
        <v>DEWALT</v>
      </c>
      <c r="E77" s="75" t="str">
        <f>_xlfn.XLOOKUP(B77,'Product Hierarchy'!A:A,'Product Hierarchy'!E:E)</f>
        <v>Drywall Hand Tools</v>
      </c>
      <c r="F77" s="75" t="str">
        <f>_xlfn.XLOOKUP(B77,'Product Hierarchy'!A:A,'Product Hierarchy'!F:F)</f>
        <v>Joint Knives</v>
      </c>
      <c r="G77" s="76">
        <v>19.489999999999998</v>
      </c>
      <c r="H77" s="76">
        <v>17.54</v>
      </c>
      <c r="I77" s="6">
        <v>12.28</v>
      </c>
      <c r="J77" s="5" t="s">
        <v>26</v>
      </c>
      <c r="K77" s="5">
        <v>8</v>
      </c>
      <c r="L77" s="5">
        <v>48</v>
      </c>
      <c r="M77" s="43"/>
      <c r="N77" s="24">
        <f t="shared" si="2"/>
        <v>0</v>
      </c>
      <c r="O77" s="97"/>
    </row>
    <row r="78" spans="1:15" x14ac:dyDescent="0.25">
      <c r="A78" s="104">
        <v>450092</v>
      </c>
      <c r="B78" s="4" t="s">
        <v>158</v>
      </c>
      <c r="C78" s="4" t="s">
        <v>1433</v>
      </c>
      <c r="D78" s="75" t="str">
        <f>_xlfn.XLOOKUP(B78,'Product Hierarchy'!A:A,'Product Hierarchy'!C:C)</f>
        <v>DEWALT</v>
      </c>
      <c r="E78" s="75" t="str">
        <f>_xlfn.XLOOKUP(B78,'Product Hierarchy'!A:A,'Product Hierarchy'!E:E)</f>
        <v>Drywall Hand Tools</v>
      </c>
      <c r="F78" s="75" t="str">
        <f>_xlfn.XLOOKUP(B78,'Product Hierarchy'!A:A,'Product Hierarchy'!F:F)</f>
        <v>Joint Knives</v>
      </c>
      <c r="G78" s="76">
        <v>20.99</v>
      </c>
      <c r="H78" s="76">
        <v>18.89</v>
      </c>
      <c r="I78" s="6">
        <v>13.22</v>
      </c>
      <c r="J78" s="5" t="s">
        <v>26</v>
      </c>
      <c r="K78" s="5">
        <v>8</v>
      </c>
      <c r="L78" s="5">
        <v>48</v>
      </c>
      <c r="M78" s="43"/>
      <c r="N78" s="24">
        <f t="shared" si="2"/>
        <v>0</v>
      </c>
      <c r="O78" s="97"/>
    </row>
    <row r="79" spans="1:15" x14ac:dyDescent="0.25">
      <c r="A79" s="104">
        <v>450093</v>
      </c>
      <c r="B79" s="4" t="s">
        <v>159</v>
      </c>
      <c r="C79" s="4" t="s">
        <v>1434</v>
      </c>
      <c r="D79" s="75" t="str">
        <f>_xlfn.XLOOKUP(B79,'Product Hierarchy'!A:A,'Product Hierarchy'!C:C)</f>
        <v>DEWALT</v>
      </c>
      <c r="E79" s="75" t="str">
        <f>_xlfn.XLOOKUP(B79,'Product Hierarchy'!A:A,'Product Hierarchy'!E:E)</f>
        <v>Drywall Hand Tools</v>
      </c>
      <c r="F79" s="75" t="str">
        <f>_xlfn.XLOOKUP(B79,'Product Hierarchy'!A:A,'Product Hierarchy'!F:F)</f>
        <v>Joint Knives</v>
      </c>
      <c r="G79" s="76">
        <v>21.99</v>
      </c>
      <c r="H79" s="76">
        <v>19.79</v>
      </c>
      <c r="I79" s="6">
        <v>13.85</v>
      </c>
      <c r="J79" s="5" t="s">
        <v>26</v>
      </c>
      <c r="K79" s="5">
        <v>8</v>
      </c>
      <c r="L79" s="5">
        <v>48</v>
      </c>
      <c r="M79" s="43"/>
      <c r="N79" s="24">
        <f t="shared" si="2"/>
        <v>0</v>
      </c>
      <c r="O79" s="97"/>
    </row>
    <row r="80" spans="1:15" x14ac:dyDescent="0.25">
      <c r="A80" s="104">
        <v>450094</v>
      </c>
      <c r="B80" s="4" t="s">
        <v>160</v>
      </c>
      <c r="C80" s="4" t="s">
        <v>1435</v>
      </c>
      <c r="D80" s="75" t="str">
        <f>_xlfn.XLOOKUP(B80,'Product Hierarchy'!A:A,'Product Hierarchy'!C:C)</f>
        <v>DEWALT</v>
      </c>
      <c r="E80" s="75" t="str">
        <f>_xlfn.XLOOKUP(B80,'Product Hierarchy'!A:A,'Product Hierarchy'!E:E)</f>
        <v>Drywall Hand Tools</v>
      </c>
      <c r="F80" s="75" t="str">
        <f>_xlfn.XLOOKUP(B80,'Product Hierarchy'!A:A,'Product Hierarchy'!F:F)</f>
        <v>Joint Knives</v>
      </c>
      <c r="G80" s="76">
        <v>22.99</v>
      </c>
      <c r="H80" s="76">
        <v>20.69</v>
      </c>
      <c r="I80" s="6">
        <v>14.48</v>
      </c>
      <c r="J80" s="5" t="s">
        <v>26</v>
      </c>
      <c r="K80" s="5">
        <v>8</v>
      </c>
      <c r="L80" s="5">
        <v>48</v>
      </c>
      <c r="M80" s="43"/>
      <c r="N80" s="24">
        <f t="shared" si="2"/>
        <v>0</v>
      </c>
      <c r="O80" s="97"/>
    </row>
    <row r="81" spans="1:15" x14ac:dyDescent="0.25">
      <c r="A81" s="104">
        <v>450095</v>
      </c>
      <c r="B81" s="4" t="s">
        <v>161</v>
      </c>
      <c r="C81" s="4" t="s">
        <v>1436</v>
      </c>
      <c r="D81" s="75" t="str">
        <f>_xlfn.XLOOKUP(B81,'Product Hierarchy'!A:A,'Product Hierarchy'!C:C)</f>
        <v>DEWALT</v>
      </c>
      <c r="E81" s="75" t="str">
        <f>_xlfn.XLOOKUP(B81,'Product Hierarchy'!A:A,'Product Hierarchy'!E:E)</f>
        <v>Drywall Hand Tools</v>
      </c>
      <c r="F81" s="75" t="str">
        <f>_xlfn.XLOOKUP(B81,'Product Hierarchy'!A:A,'Product Hierarchy'!F:F)</f>
        <v>Joint Knives</v>
      </c>
      <c r="G81" s="76">
        <v>23.99</v>
      </c>
      <c r="H81" s="76">
        <v>21.59</v>
      </c>
      <c r="I81" s="6">
        <v>15.11</v>
      </c>
      <c r="J81" s="5" t="s">
        <v>26</v>
      </c>
      <c r="K81" s="5">
        <v>8</v>
      </c>
      <c r="L81" s="5">
        <v>48</v>
      </c>
      <c r="M81" s="43"/>
      <c r="N81" s="24">
        <f t="shared" si="2"/>
        <v>0</v>
      </c>
      <c r="O81" s="97"/>
    </row>
    <row r="82" spans="1:15" x14ac:dyDescent="0.25">
      <c r="A82" s="104">
        <v>450096</v>
      </c>
      <c r="B82" s="4" t="s">
        <v>162</v>
      </c>
      <c r="C82" s="4" t="s">
        <v>1437</v>
      </c>
      <c r="D82" s="75" t="str">
        <f>_xlfn.XLOOKUP(B82,'Product Hierarchy'!A:A,'Product Hierarchy'!C:C)</f>
        <v>DEWALT</v>
      </c>
      <c r="E82" s="75" t="str">
        <f>_xlfn.XLOOKUP(B82,'Product Hierarchy'!A:A,'Product Hierarchy'!E:E)</f>
        <v>Drywall Hand Tools</v>
      </c>
      <c r="F82" s="75" t="str">
        <f>_xlfn.XLOOKUP(B82,'Product Hierarchy'!A:A,'Product Hierarchy'!F:F)</f>
        <v>Joint Knives</v>
      </c>
      <c r="G82" s="76">
        <v>24.99</v>
      </c>
      <c r="H82" s="76">
        <v>22.49</v>
      </c>
      <c r="I82" s="6">
        <v>15.74</v>
      </c>
      <c r="J82" s="5" t="s">
        <v>26</v>
      </c>
      <c r="K82" s="5">
        <v>8</v>
      </c>
      <c r="L82" s="5">
        <v>48</v>
      </c>
      <c r="M82" s="43"/>
      <c r="N82" s="24">
        <f t="shared" si="2"/>
        <v>0</v>
      </c>
      <c r="O82" s="97"/>
    </row>
    <row r="83" spans="1:15" x14ac:dyDescent="0.25">
      <c r="A83" s="104">
        <v>450097</v>
      </c>
      <c r="B83" s="4" t="s">
        <v>163</v>
      </c>
      <c r="C83" s="4" t="s">
        <v>1438</v>
      </c>
      <c r="D83" s="75" t="str">
        <f>_xlfn.XLOOKUP(B83,'Product Hierarchy'!A:A,'Product Hierarchy'!C:C)</f>
        <v>DEWALT</v>
      </c>
      <c r="E83" s="75" t="str">
        <f>_xlfn.XLOOKUP(B83,'Product Hierarchy'!A:A,'Product Hierarchy'!E:E)</f>
        <v>Drywall Hand Tools</v>
      </c>
      <c r="F83" s="75" t="str">
        <f>_xlfn.XLOOKUP(B83,'Product Hierarchy'!A:A,'Product Hierarchy'!F:F)</f>
        <v>Joint Knives</v>
      </c>
      <c r="G83" s="76">
        <v>25.99</v>
      </c>
      <c r="H83" s="76">
        <v>23.39</v>
      </c>
      <c r="I83" s="6">
        <v>16.37</v>
      </c>
      <c r="J83" s="5" t="s">
        <v>26</v>
      </c>
      <c r="K83" s="5">
        <v>8</v>
      </c>
      <c r="L83" s="5">
        <v>48</v>
      </c>
      <c r="M83" s="43"/>
      <c r="N83" s="24">
        <f t="shared" si="2"/>
        <v>0</v>
      </c>
      <c r="O83" s="97"/>
    </row>
    <row r="84" spans="1:15" x14ac:dyDescent="0.25">
      <c r="A84" s="104">
        <v>450098</v>
      </c>
      <c r="B84" s="4" t="s">
        <v>164</v>
      </c>
      <c r="C84" s="4" t="s">
        <v>1439</v>
      </c>
      <c r="D84" s="75" t="str">
        <f>_xlfn.XLOOKUP(B84,'Product Hierarchy'!A:A,'Product Hierarchy'!C:C)</f>
        <v>DEWALT</v>
      </c>
      <c r="E84" s="75" t="str">
        <f>_xlfn.XLOOKUP(B84,'Product Hierarchy'!A:A,'Product Hierarchy'!E:E)</f>
        <v>Drywall Hand Tools</v>
      </c>
      <c r="F84" s="75" t="str">
        <f>_xlfn.XLOOKUP(B84,'Product Hierarchy'!A:A,'Product Hierarchy'!F:F)</f>
        <v>Joint Knives</v>
      </c>
      <c r="G84" s="76">
        <v>8.99</v>
      </c>
      <c r="H84" s="76">
        <v>8.09</v>
      </c>
      <c r="I84" s="6">
        <v>5.66</v>
      </c>
      <c r="J84" s="5" t="s">
        <v>26</v>
      </c>
      <c r="K84" s="5">
        <v>24</v>
      </c>
      <c r="L84" s="5">
        <v>144</v>
      </c>
      <c r="M84" s="43"/>
      <c r="N84" s="24">
        <f t="shared" si="2"/>
        <v>0</v>
      </c>
      <c r="O84" s="97"/>
    </row>
    <row r="85" spans="1:15" x14ac:dyDescent="0.25">
      <c r="A85" s="104">
        <v>450099</v>
      </c>
      <c r="B85" s="4" t="s">
        <v>4246</v>
      </c>
      <c r="C85" s="4" t="s">
        <v>4386</v>
      </c>
      <c r="D85" s="75" t="s">
        <v>922</v>
      </c>
      <c r="E85" s="75" t="s">
        <v>1399</v>
      </c>
      <c r="F85" s="75" t="s">
        <v>1548</v>
      </c>
      <c r="G85" s="76">
        <v>20.99</v>
      </c>
      <c r="H85" s="76">
        <v>18.89</v>
      </c>
      <c r="I85" s="6">
        <v>13.22</v>
      </c>
      <c r="J85" s="5" t="s">
        <v>26</v>
      </c>
      <c r="K85" s="5">
        <v>4</v>
      </c>
      <c r="L85" s="5">
        <v>24</v>
      </c>
      <c r="M85" s="43"/>
      <c r="N85" s="24">
        <f t="shared" si="2"/>
        <v>0</v>
      </c>
      <c r="O85" s="97"/>
    </row>
    <row r="86" spans="1:15" x14ac:dyDescent="0.25">
      <c r="A86" s="104">
        <v>450100</v>
      </c>
      <c r="B86" s="4" t="s">
        <v>4249</v>
      </c>
      <c r="C86" s="4" t="s">
        <v>4387</v>
      </c>
      <c r="D86" s="75" t="s">
        <v>922</v>
      </c>
      <c r="E86" s="75" t="s">
        <v>1399</v>
      </c>
      <c r="F86" s="75" t="s">
        <v>1548</v>
      </c>
      <c r="G86" s="76">
        <v>21.99</v>
      </c>
      <c r="H86" s="76">
        <v>19.79</v>
      </c>
      <c r="I86" s="6">
        <v>13.85</v>
      </c>
      <c r="J86" s="5" t="s">
        <v>26</v>
      </c>
      <c r="K86" s="5">
        <v>4</v>
      </c>
      <c r="L86" s="5">
        <v>24</v>
      </c>
      <c r="M86" s="43"/>
      <c r="N86" s="24">
        <f t="shared" si="2"/>
        <v>0</v>
      </c>
      <c r="O86" s="97"/>
    </row>
    <row r="87" spans="1:15" x14ac:dyDescent="0.25">
      <c r="A87" s="104">
        <v>450101</v>
      </c>
      <c r="B87" s="4" t="s">
        <v>4252</v>
      </c>
      <c r="C87" s="4" t="s">
        <v>4388</v>
      </c>
      <c r="D87" s="75" t="s">
        <v>922</v>
      </c>
      <c r="E87" s="75" t="s">
        <v>1399</v>
      </c>
      <c r="F87" s="75" t="s">
        <v>1548</v>
      </c>
      <c r="G87" s="76">
        <v>22.99</v>
      </c>
      <c r="H87" s="76">
        <v>20.69</v>
      </c>
      <c r="I87" s="6">
        <v>14.48</v>
      </c>
      <c r="J87" s="5" t="s">
        <v>26</v>
      </c>
      <c r="K87" s="5">
        <v>4</v>
      </c>
      <c r="L87" s="5">
        <v>24</v>
      </c>
      <c r="M87" s="43"/>
      <c r="N87" s="24">
        <f t="shared" si="2"/>
        <v>0</v>
      </c>
      <c r="O87" s="97"/>
    </row>
    <row r="88" spans="1:15" x14ac:dyDescent="0.25">
      <c r="A88" s="104">
        <v>450102</v>
      </c>
      <c r="B88" s="4" t="s">
        <v>4255</v>
      </c>
      <c r="C88" s="4" t="s">
        <v>4389</v>
      </c>
      <c r="D88" s="75" t="s">
        <v>922</v>
      </c>
      <c r="E88" s="75" t="s">
        <v>1399</v>
      </c>
      <c r="F88" s="75" t="s">
        <v>1548</v>
      </c>
      <c r="G88" s="76">
        <v>23.99</v>
      </c>
      <c r="H88" s="76">
        <v>21.59</v>
      </c>
      <c r="I88" s="6">
        <v>15.11</v>
      </c>
      <c r="J88" s="5" t="s">
        <v>26</v>
      </c>
      <c r="K88" s="5">
        <v>4</v>
      </c>
      <c r="L88" s="5">
        <v>24</v>
      </c>
      <c r="M88" s="43"/>
      <c r="N88" s="24">
        <f t="shared" si="2"/>
        <v>0</v>
      </c>
      <c r="O88" s="97"/>
    </row>
    <row r="89" spans="1:15" x14ac:dyDescent="0.25">
      <c r="A89" s="104">
        <v>450103</v>
      </c>
      <c r="B89" s="4" t="s">
        <v>791</v>
      </c>
      <c r="C89" s="4" t="s">
        <v>1440</v>
      </c>
      <c r="D89" s="75" t="str">
        <f>_xlfn.XLOOKUP(B89,'Product Hierarchy'!A:A,'Product Hierarchy'!C:C)</f>
        <v>DEWALT</v>
      </c>
      <c r="E89" s="75" t="str">
        <f>_xlfn.XLOOKUP(B89,'Product Hierarchy'!A:A,'Product Hierarchy'!E:E)</f>
        <v>Drywall Hand Tools</v>
      </c>
      <c r="F89" s="75" t="str">
        <f>_xlfn.XLOOKUP(B89,'Product Hierarchy'!A:A,'Product Hierarchy'!F:F)</f>
        <v>Joint Knives</v>
      </c>
      <c r="G89" s="76">
        <v>25.99</v>
      </c>
      <c r="H89" s="76">
        <v>23.39</v>
      </c>
      <c r="I89" s="6">
        <v>16.37</v>
      </c>
      <c r="J89" s="5" t="s">
        <v>26</v>
      </c>
      <c r="K89" s="5">
        <v>8</v>
      </c>
      <c r="L89" s="5">
        <v>48</v>
      </c>
      <c r="M89" s="43"/>
      <c r="N89" s="24">
        <f t="shared" si="2"/>
        <v>0</v>
      </c>
      <c r="O89" s="97"/>
    </row>
    <row r="90" spans="1:15" x14ac:dyDescent="0.25">
      <c r="A90" s="104">
        <v>450104</v>
      </c>
      <c r="B90" s="4" t="s">
        <v>792</v>
      </c>
      <c r="C90" s="4" t="s">
        <v>1441</v>
      </c>
      <c r="D90" s="75" t="str">
        <f>_xlfn.XLOOKUP(B90,'Product Hierarchy'!A:A,'Product Hierarchy'!C:C)</f>
        <v>DEWALT</v>
      </c>
      <c r="E90" s="75" t="str">
        <f>_xlfn.XLOOKUP(B90,'Product Hierarchy'!A:A,'Product Hierarchy'!E:E)</f>
        <v>Drywall Hand Tools</v>
      </c>
      <c r="F90" s="75" t="str">
        <f>_xlfn.XLOOKUP(B90,'Product Hierarchy'!A:A,'Product Hierarchy'!F:F)</f>
        <v>Joint Knives</v>
      </c>
      <c r="G90" s="76">
        <v>26.99</v>
      </c>
      <c r="H90" s="76">
        <v>24.29</v>
      </c>
      <c r="I90" s="6">
        <v>17</v>
      </c>
      <c r="J90" s="5" t="s">
        <v>26</v>
      </c>
      <c r="K90" s="5">
        <v>8</v>
      </c>
      <c r="L90" s="5">
        <v>48</v>
      </c>
      <c r="M90" s="43"/>
      <c r="N90" s="24">
        <f t="shared" si="2"/>
        <v>0</v>
      </c>
      <c r="O90" s="97"/>
    </row>
    <row r="91" spans="1:15" x14ac:dyDescent="0.25">
      <c r="A91" s="104">
        <v>450105</v>
      </c>
      <c r="B91" s="4" t="s">
        <v>793</v>
      </c>
      <c r="C91" s="4" t="s">
        <v>1442</v>
      </c>
      <c r="D91" s="75" t="str">
        <f>_xlfn.XLOOKUP(B91,'Product Hierarchy'!A:A,'Product Hierarchy'!C:C)</f>
        <v>DEWALT</v>
      </c>
      <c r="E91" s="75" t="str">
        <f>_xlfn.XLOOKUP(B91,'Product Hierarchy'!A:A,'Product Hierarchy'!E:E)</f>
        <v>Drywall Hand Tools</v>
      </c>
      <c r="F91" s="75" t="str">
        <f>_xlfn.XLOOKUP(B91,'Product Hierarchy'!A:A,'Product Hierarchy'!F:F)</f>
        <v>Joint Knives</v>
      </c>
      <c r="G91" s="76">
        <v>28.49</v>
      </c>
      <c r="H91" s="76">
        <v>25.64</v>
      </c>
      <c r="I91" s="6">
        <v>17.95</v>
      </c>
      <c r="J91" s="5" t="s">
        <v>26</v>
      </c>
      <c r="K91" s="5">
        <v>8</v>
      </c>
      <c r="L91" s="5">
        <v>48</v>
      </c>
      <c r="M91" s="43"/>
      <c r="N91" s="24">
        <f t="shared" si="2"/>
        <v>0</v>
      </c>
      <c r="O91" s="97"/>
    </row>
    <row r="92" spans="1:15" x14ac:dyDescent="0.25">
      <c r="A92" s="104">
        <v>450106</v>
      </c>
      <c r="B92" s="4" t="s">
        <v>794</v>
      </c>
      <c r="C92" s="4" t="s">
        <v>1443</v>
      </c>
      <c r="D92" s="75" t="str">
        <f>_xlfn.XLOOKUP(B92,'Product Hierarchy'!A:A,'Product Hierarchy'!C:C)</f>
        <v>DEWALT</v>
      </c>
      <c r="E92" s="75" t="str">
        <f>_xlfn.XLOOKUP(B92,'Product Hierarchy'!A:A,'Product Hierarchy'!E:E)</f>
        <v>Drywall Hand Tools</v>
      </c>
      <c r="F92" s="75" t="str">
        <f>_xlfn.XLOOKUP(B92,'Product Hierarchy'!A:A,'Product Hierarchy'!F:F)</f>
        <v>Joint Knives</v>
      </c>
      <c r="G92" s="76">
        <v>29.49</v>
      </c>
      <c r="H92" s="76">
        <v>26.54</v>
      </c>
      <c r="I92" s="6">
        <v>18.579999999999998</v>
      </c>
      <c r="J92" s="5" t="s">
        <v>26</v>
      </c>
      <c r="K92" s="5">
        <v>8</v>
      </c>
      <c r="L92" s="5">
        <v>48</v>
      </c>
      <c r="M92" s="43"/>
      <c r="N92" s="24">
        <f t="shared" si="2"/>
        <v>0</v>
      </c>
      <c r="O92" s="97"/>
    </row>
    <row r="93" spans="1:15" x14ac:dyDescent="0.25">
      <c r="A93" s="104">
        <v>450107</v>
      </c>
      <c r="B93" s="4" t="s">
        <v>570</v>
      </c>
      <c r="C93" s="4" t="s">
        <v>1444</v>
      </c>
      <c r="D93" s="75" t="str">
        <f>_xlfn.XLOOKUP(B93,'Product Hierarchy'!A:A,'Product Hierarchy'!C:C)</f>
        <v>DEWALT</v>
      </c>
      <c r="E93" s="75" t="str">
        <f>_xlfn.XLOOKUP(B93,'Product Hierarchy'!A:A,'Product Hierarchy'!E:E)</f>
        <v>Drywall Hand Tools</v>
      </c>
      <c r="F93" s="75" t="str">
        <f>_xlfn.XLOOKUP(B93,'Product Hierarchy'!A:A,'Product Hierarchy'!F:F)</f>
        <v>Joint Knives</v>
      </c>
      <c r="G93" s="76">
        <v>14.49</v>
      </c>
      <c r="H93" s="76">
        <v>13.04</v>
      </c>
      <c r="I93" s="6">
        <v>9.1300000000000008</v>
      </c>
      <c r="J93" s="5" t="s">
        <v>26</v>
      </c>
      <c r="K93" s="5">
        <v>8</v>
      </c>
      <c r="L93" s="5">
        <v>48</v>
      </c>
      <c r="M93" s="43"/>
      <c r="N93" s="24">
        <f t="shared" si="2"/>
        <v>0</v>
      </c>
      <c r="O93" s="97"/>
    </row>
    <row r="94" spans="1:15" x14ac:dyDescent="0.25">
      <c r="A94" s="104">
        <v>450108</v>
      </c>
      <c r="B94" s="4" t="s">
        <v>571</v>
      </c>
      <c r="C94" s="4" t="s">
        <v>1445</v>
      </c>
      <c r="D94" s="75" t="str">
        <f>_xlfn.XLOOKUP(B94,'Product Hierarchy'!A:A,'Product Hierarchy'!C:C)</f>
        <v>DEWALT</v>
      </c>
      <c r="E94" s="75" t="str">
        <f>_xlfn.XLOOKUP(B94,'Product Hierarchy'!A:A,'Product Hierarchy'!E:E)</f>
        <v>Drywall Hand Tools</v>
      </c>
      <c r="F94" s="75" t="str">
        <f>_xlfn.XLOOKUP(B94,'Product Hierarchy'!A:A,'Product Hierarchy'!F:F)</f>
        <v>Joint Knives</v>
      </c>
      <c r="G94" s="76">
        <v>15.49</v>
      </c>
      <c r="H94" s="76">
        <v>13.94</v>
      </c>
      <c r="I94" s="6">
        <v>9.76</v>
      </c>
      <c r="J94" s="5" t="s">
        <v>26</v>
      </c>
      <c r="K94" s="5">
        <v>8</v>
      </c>
      <c r="L94" s="5">
        <v>48</v>
      </c>
      <c r="M94" s="43"/>
      <c r="N94" s="24">
        <f t="shared" si="2"/>
        <v>0</v>
      </c>
      <c r="O94" s="97"/>
    </row>
    <row r="95" spans="1:15" x14ac:dyDescent="0.25">
      <c r="A95" s="104">
        <v>450109</v>
      </c>
      <c r="B95" s="4" t="s">
        <v>572</v>
      </c>
      <c r="C95" s="4" t="s">
        <v>1446</v>
      </c>
      <c r="D95" s="75" t="str">
        <f>_xlfn.XLOOKUP(B95,'Product Hierarchy'!A:A,'Product Hierarchy'!C:C)</f>
        <v>DEWALT</v>
      </c>
      <c r="E95" s="75" t="str">
        <f>_xlfn.XLOOKUP(B95,'Product Hierarchy'!A:A,'Product Hierarchy'!E:E)</f>
        <v>Drywall Hand Tools</v>
      </c>
      <c r="F95" s="75" t="str">
        <f>_xlfn.XLOOKUP(B95,'Product Hierarchy'!A:A,'Product Hierarchy'!F:F)</f>
        <v>Joint Knives</v>
      </c>
      <c r="G95" s="76">
        <v>16.489999999999998</v>
      </c>
      <c r="H95" s="76">
        <v>14.84</v>
      </c>
      <c r="I95" s="6">
        <v>10.39</v>
      </c>
      <c r="J95" s="5" t="s">
        <v>26</v>
      </c>
      <c r="K95" s="5">
        <v>8</v>
      </c>
      <c r="L95" s="5">
        <v>48</v>
      </c>
      <c r="M95" s="43"/>
      <c r="N95" s="24">
        <f t="shared" si="2"/>
        <v>0</v>
      </c>
      <c r="O95" s="97"/>
    </row>
    <row r="96" spans="1:15" x14ac:dyDescent="0.25">
      <c r="A96" s="104">
        <v>450111</v>
      </c>
      <c r="B96" s="4" t="s">
        <v>321</v>
      </c>
      <c r="C96" s="4" t="s">
        <v>1900</v>
      </c>
      <c r="D96" s="75" t="str">
        <f>_xlfn.XLOOKUP(B96,'Product Hierarchy'!A:A,'Product Hierarchy'!C:C)</f>
        <v>DEWALT</v>
      </c>
      <c r="E96" s="75" t="str">
        <f>_xlfn.XLOOKUP(B96,'Product Hierarchy'!A:A,'Product Hierarchy'!E:E)</f>
        <v>Drywall Auto Tools</v>
      </c>
      <c r="F96" s="75" t="str">
        <f>_xlfn.XLOOKUP(B96,'Product Hierarchy'!A:A,'Product Hierarchy'!F:F)</f>
        <v>Auto Tool Sets</v>
      </c>
      <c r="G96" s="76">
        <v>6313.36</v>
      </c>
      <c r="H96" s="76">
        <v>5050.6899999999996</v>
      </c>
      <c r="I96" s="6">
        <v>3535.48</v>
      </c>
      <c r="J96" s="5" t="s">
        <v>26</v>
      </c>
      <c r="K96" s="5">
        <v>1</v>
      </c>
      <c r="L96" s="5">
        <v>1</v>
      </c>
      <c r="M96" s="45"/>
      <c r="N96" s="7">
        <f t="shared" si="2"/>
        <v>0</v>
      </c>
      <c r="O96" s="97"/>
    </row>
    <row r="97" spans="1:15" x14ac:dyDescent="0.25">
      <c r="A97" s="104">
        <v>450118</v>
      </c>
      <c r="B97" s="4" t="s">
        <v>324</v>
      </c>
      <c r="C97" s="4" t="s">
        <v>1918</v>
      </c>
      <c r="D97" s="75" t="str">
        <f>_xlfn.XLOOKUP(B97,'Product Hierarchy'!A:A,'Product Hierarchy'!C:C)</f>
        <v>DEWALT</v>
      </c>
      <c r="E97" s="75" t="str">
        <f>_xlfn.XLOOKUP(B97,'Product Hierarchy'!A:A,'Product Hierarchy'!E:E)</f>
        <v>Drywall Auto Tools</v>
      </c>
      <c r="F97" s="75" t="str">
        <f>_xlfn.XLOOKUP(B97,'Product Hierarchy'!A:A,'Product Hierarchy'!F:F)</f>
        <v>Auto Tool Sets</v>
      </c>
      <c r="G97" s="76">
        <v>1816.46</v>
      </c>
      <c r="H97" s="76">
        <v>1453.17</v>
      </c>
      <c r="I97" s="6">
        <v>1017.22</v>
      </c>
      <c r="J97" s="5" t="s">
        <v>26</v>
      </c>
      <c r="K97" s="5">
        <v>1</v>
      </c>
      <c r="L97" s="5">
        <v>1</v>
      </c>
      <c r="M97" s="45"/>
      <c r="N97" s="7">
        <f t="shared" si="2"/>
        <v>0</v>
      </c>
      <c r="O97" s="97"/>
    </row>
    <row r="98" spans="1:15" x14ac:dyDescent="0.25">
      <c r="A98" s="104">
        <v>450125</v>
      </c>
      <c r="B98" s="4" t="s">
        <v>322</v>
      </c>
      <c r="C98" s="4" t="s">
        <v>1932</v>
      </c>
      <c r="D98" s="75" t="str">
        <f>_xlfn.XLOOKUP(B98,'Product Hierarchy'!A:A,'Product Hierarchy'!C:C)</f>
        <v>DEWALT</v>
      </c>
      <c r="E98" s="75" t="str">
        <f>_xlfn.XLOOKUP(B98,'Product Hierarchy'!A:A,'Product Hierarchy'!E:E)</f>
        <v>Drywall Auto Tools</v>
      </c>
      <c r="F98" s="75" t="str">
        <f>_xlfn.XLOOKUP(B98,'Product Hierarchy'!A:A,'Product Hierarchy'!F:F)</f>
        <v>Auto Tool Sets</v>
      </c>
      <c r="G98" s="76">
        <v>1866.46</v>
      </c>
      <c r="H98" s="76">
        <v>1493.17</v>
      </c>
      <c r="I98" s="6">
        <v>1045.22</v>
      </c>
      <c r="J98" s="5" t="s">
        <v>26</v>
      </c>
      <c r="K98" s="5">
        <v>1</v>
      </c>
      <c r="L98" s="5">
        <v>1</v>
      </c>
      <c r="M98" s="45"/>
      <c r="N98" s="7">
        <f t="shared" si="2"/>
        <v>0</v>
      </c>
      <c r="O98" s="97"/>
    </row>
    <row r="99" spans="1:15" x14ac:dyDescent="0.25">
      <c r="A99" s="104">
        <v>450127</v>
      </c>
      <c r="B99" s="4" t="s">
        <v>323</v>
      </c>
      <c r="C99" s="4" t="s">
        <v>1934</v>
      </c>
      <c r="D99" s="75" t="str">
        <f>_xlfn.XLOOKUP(B99,'Product Hierarchy'!A:A,'Product Hierarchy'!C:C)</f>
        <v>DEWALT</v>
      </c>
      <c r="E99" s="75" t="str">
        <f>_xlfn.XLOOKUP(B99,'Product Hierarchy'!A:A,'Product Hierarchy'!E:E)</f>
        <v>Drywall Auto Tools</v>
      </c>
      <c r="F99" s="75" t="str">
        <f>_xlfn.XLOOKUP(B99,'Product Hierarchy'!A:A,'Product Hierarchy'!F:F)</f>
        <v>Auto Tool Sets</v>
      </c>
      <c r="G99" s="76">
        <v>6363.36</v>
      </c>
      <c r="H99" s="76">
        <v>5090.6899999999996</v>
      </c>
      <c r="I99" s="6">
        <v>3563.48</v>
      </c>
      <c r="J99" s="5" t="s">
        <v>26</v>
      </c>
      <c r="K99" s="5">
        <v>1</v>
      </c>
      <c r="L99" s="5">
        <v>1</v>
      </c>
      <c r="M99" s="45"/>
      <c r="N99" s="7">
        <f t="shared" si="2"/>
        <v>0</v>
      </c>
      <c r="O99" s="97"/>
    </row>
    <row r="100" spans="1:15" x14ac:dyDescent="0.25">
      <c r="A100" s="104">
        <v>450132</v>
      </c>
      <c r="B100" s="4" t="s">
        <v>264</v>
      </c>
      <c r="C100" s="4" t="s">
        <v>954</v>
      </c>
      <c r="D100" s="75" t="str">
        <f>_xlfn.XLOOKUP(B100,'Product Hierarchy'!A:A,'Product Hierarchy'!C:C)</f>
        <v>DEWALT</v>
      </c>
      <c r="E100" s="75" t="str">
        <f>_xlfn.XLOOKUP(B100,'Product Hierarchy'!A:A,'Product Hierarchy'!E:E)</f>
        <v>Drywall Auto Tools</v>
      </c>
      <c r="F100" s="75" t="str">
        <f>_xlfn.XLOOKUP(B100,'Product Hierarchy'!A:A,'Product Hierarchy'!F:F)</f>
        <v>Applicator Boxes</v>
      </c>
      <c r="G100" s="76">
        <v>335.99</v>
      </c>
      <c r="H100" s="76">
        <v>285.58999999999997</v>
      </c>
      <c r="I100" s="6">
        <v>199.91</v>
      </c>
      <c r="J100" s="5" t="s">
        <v>26</v>
      </c>
      <c r="K100" s="5">
        <v>1</v>
      </c>
      <c r="L100" s="5">
        <v>6</v>
      </c>
      <c r="M100" s="43"/>
      <c r="N100" s="7">
        <f t="shared" si="2"/>
        <v>0</v>
      </c>
      <c r="O100" s="97"/>
    </row>
    <row r="101" spans="1:15" x14ac:dyDescent="0.25">
      <c r="A101" s="104">
        <v>450133</v>
      </c>
      <c r="B101" s="4" t="s">
        <v>265</v>
      </c>
      <c r="C101" s="4" t="s">
        <v>2452</v>
      </c>
      <c r="D101" s="75" t="str">
        <f>_xlfn.XLOOKUP(B101,'Product Hierarchy'!A:A,'Product Hierarchy'!C:C)</f>
        <v>DEWALT</v>
      </c>
      <c r="E101" s="75" t="str">
        <f>_xlfn.XLOOKUP(B101,'Product Hierarchy'!A:A,'Product Hierarchy'!E:E)</f>
        <v>Drywall Auto Tools</v>
      </c>
      <c r="F101" s="75" t="str">
        <f>_xlfn.XLOOKUP(B101,'Product Hierarchy'!A:A,'Product Hierarchy'!F:F)</f>
        <v>Inside Corner Rollers</v>
      </c>
      <c r="G101" s="76">
        <v>178.99</v>
      </c>
      <c r="H101" s="76">
        <v>152.13999999999999</v>
      </c>
      <c r="I101" s="6">
        <v>106.5</v>
      </c>
      <c r="J101" s="5" t="s">
        <v>26</v>
      </c>
      <c r="K101" s="5">
        <v>1</v>
      </c>
      <c r="L101" s="5">
        <v>12</v>
      </c>
      <c r="M101" s="43"/>
      <c r="N101" s="7">
        <f t="shared" si="2"/>
        <v>0</v>
      </c>
      <c r="O101" s="97"/>
    </row>
    <row r="102" spans="1:15" x14ac:dyDescent="0.25">
      <c r="A102" s="104">
        <v>450134</v>
      </c>
      <c r="B102" s="4" t="s">
        <v>266</v>
      </c>
      <c r="C102" s="4" t="s">
        <v>996</v>
      </c>
      <c r="D102" s="75" t="str">
        <f>_xlfn.XLOOKUP(B102,'Product Hierarchy'!A:A,'Product Hierarchy'!C:C)</f>
        <v>DEWALT</v>
      </c>
      <c r="E102" s="75" t="str">
        <f>_xlfn.XLOOKUP(B102,'Product Hierarchy'!A:A,'Product Hierarchy'!E:E)</f>
        <v>Drywall Auto Tools</v>
      </c>
      <c r="F102" s="75" t="str">
        <f>_xlfn.XLOOKUP(B102,'Product Hierarchy'!A:A,'Product Hierarchy'!F:F)</f>
        <v>Gooseneck</v>
      </c>
      <c r="G102" s="76">
        <v>118.99</v>
      </c>
      <c r="H102" s="76">
        <v>101.14</v>
      </c>
      <c r="I102" s="6">
        <v>70.8</v>
      </c>
      <c r="J102" s="5" t="s">
        <v>26</v>
      </c>
      <c r="K102" s="5">
        <v>6</v>
      </c>
      <c r="L102" s="5">
        <v>24</v>
      </c>
      <c r="M102" s="43"/>
      <c r="N102" s="7">
        <f t="shared" si="2"/>
        <v>0</v>
      </c>
      <c r="O102" s="97"/>
    </row>
    <row r="103" spans="1:15" x14ac:dyDescent="0.25">
      <c r="A103" s="104">
        <v>450135</v>
      </c>
      <c r="B103" s="4" t="s">
        <v>267</v>
      </c>
      <c r="C103" s="4" t="s">
        <v>968</v>
      </c>
      <c r="D103" s="75" t="str">
        <f>_xlfn.XLOOKUP(B103,'Product Hierarchy'!A:A,'Product Hierarchy'!C:C)</f>
        <v>DEWALT</v>
      </c>
      <c r="E103" s="75" t="str">
        <f>_xlfn.XLOOKUP(B103,'Product Hierarchy'!A:A,'Product Hierarchy'!E:E)</f>
        <v>Drywall Auto Tools</v>
      </c>
      <c r="F103" s="75" t="str">
        <f>_xlfn.XLOOKUP(B103,'Product Hierarchy'!A:A,'Product Hierarchy'!F:F)</f>
        <v>Compound Pumps</v>
      </c>
      <c r="G103" s="76">
        <v>79.489999999999995</v>
      </c>
      <c r="H103" s="76">
        <v>67.569999999999993</v>
      </c>
      <c r="I103" s="6">
        <v>47.3</v>
      </c>
      <c r="J103" s="5" t="s">
        <v>26</v>
      </c>
      <c r="K103" s="5">
        <v>1</v>
      </c>
      <c r="L103" s="5">
        <v>60</v>
      </c>
      <c r="M103" s="43"/>
      <c r="N103" s="7">
        <f t="shared" si="2"/>
        <v>0</v>
      </c>
      <c r="O103" s="97"/>
    </row>
    <row r="104" spans="1:15" x14ac:dyDescent="0.25">
      <c r="A104" s="104">
        <v>450136</v>
      </c>
      <c r="B104" s="4" t="s">
        <v>268</v>
      </c>
      <c r="C104" s="4" t="s">
        <v>973</v>
      </c>
      <c r="D104" s="75" t="str">
        <f>_xlfn.XLOOKUP(B104,'Product Hierarchy'!A:A,'Product Hierarchy'!C:C)</f>
        <v>DEWALT</v>
      </c>
      <c r="E104" s="75" t="str">
        <f>_xlfn.XLOOKUP(B104,'Product Hierarchy'!A:A,'Product Hierarchy'!E:E)</f>
        <v>Drywall Auto Tools</v>
      </c>
      <c r="F104" s="75" t="str">
        <f>_xlfn.XLOOKUP(B104,'Product Hierarchy'!A:A,'Product Hierarchy'!F:F)</f>
        <v>Corner Finishers</v>
      </c>
      <c r="G104" s="76">
        <v>467.49</v>
      </c>
      <c r="H104" s="76">
        <v>397.37</v>
      </c>
      <c r="I104" s="6">
        <v>278.16000000000003</v>
      </c>
      <c r="J104" s="5" t="s">
        <v>26</v>
      </c>
      <c r="K104" s="5">
        <v>1</v>
      </c>
      <c r="L104" s="5">
        <v>12</v>
      </c>
      <c r="M104" s="43"/>
      <c r="N104" s="7">
        <f t="shared" si="2"/>
        <v>0</v>
      </c>
      <c r="O104" s="97"/>
    </row>
    <row r="105" spans="1:15" x14ac:dyDescent="0.25">
      <c r="A105" s="104">
        <v>450137</v>
      </c>
      <c r="B105" s="4" t="s">
        <v>269</v>
      </c>
      <c r="C105" s="4" t="s">
        <v>975</v>
      </c>
      <c r="D105" s="75" t="str">
        <f>_xlfn.XLOOKUP(B105,'Product Hierarchy'!A:A,'Product Hierarchy'!C:C)</f>
        <v>DEWALT</v>
      </c>
      <c r="E105" s="75" t="str">
        <f>_xlfn.XLOOKUP(B105,'Product Hierarchy'!A:A,'Product Hierarchy'!E:E)</f>
        <v>Drywall Auto Tools</v>
      </c>
      <c r="F105" s="75" t="str">
        <f>_xlfn.XLOOKUP(B105,'Product Hierarchy'!A:A,'Product Hierarchy'!F:F)</f>
        <v>Corner Finishers</v>
      </c>
      <c r="G105" s="76">
        <v>478.49</v>
      </c>
      <c r="H105" s="76">
        <v>406.72</v>
      </c>
      <c r="I105" s="6">
        <v>284.7</v>
      </c>
      <c r="J105" s="5" t="s">
        <v>26</v>
      </c>
      <c r="K105" s="5">
        <v>1</v>
      </c>
      <c r="L105" s="5">
        <v>12</v>
      </c>
      <c r="M105" s="43"/>
      <c r="N105" s="7">
        <f t="shared" si="2"/>
        <v>0</v>
      </c>
      <c r="O105" s="97"/>
    </row>
    <row r="106" spans="1:15" x14ac:dyDescent="0.25">
      <c r="A106" s="104">
        <v>450138</v>
      </c>
      <c r="B106" s="4" t="s">
        <v>270</v>
      </c>
      <c r="C106" s="4" t="s">
        <v>4376</v>
      </c>
      <c r="D106" s="75" t="str">
        <f>_xlfn.XLOOKUP(B106,'Product Hierarchy'!A:A,'Product Hierarchy'!C:C)</f>
        <v>DEWALT</v>
      </c>
      <c r="E106" s="75" t="str">
        <f>_xlfn.XLOOKUP(B106,'Product Hierarchy'!A:A,'Product Hierarchy'!E:E)</f>
        <v>Drywall Auto Tools</v>
      </c>
      <c r="F106" s="75" t="str">
        <f>_xlfn.XLOOKUP(B106,'Product Hierarchy'!A:A,'Product Hierarchy'!F:F)</f>
        <v>Corner Finishers</v>
      </c>
      <c r="G106" s="76">
        <v>489.49</v>
      </c>
      <c r="H106" s="76">
        <v>416.07</v>
      </c>
      <c r="I106" s="6">
        <v>291.25</v>
      </c>
      <c r="J106" s="5" t="s">
        <v>26</v>
      </c>
      <c r="K106" s="5">
        <v>1</v>
      </c>
      <c r="L106" s="5">
        <v>12</v>
      </c>
      <c r="M106" s="43"/>
      <c r="N106" s="7">
        <f t="shared" si="2"/>
        <v>0</v>
      </c>
      <c r="O106" s="97"/>
    </row>
    <row r="107" spans="1:15" x14ac:dyDescent="0.25">
      <c r="A107" s="104">
        <v>450139</v>
      </c>
      <c r="B107" s="4" t="s">
        <v>271</v>
      </c>
      <c r="C107" s="4" t="s">
        <v>4375</v>
      </c>
      <c r="D107" s="75" t="str">
        <f>_xlfn.XLOOKUP(B107,'Product Hierarchy'!A:A,'Product Hierarchy'!C:C)</f>
        <v>DEWALT</v>
      </c>
      <c r="E107" s="75" t="str">
        <f>_xlfn.XLOOKUP(B107,'Product Hierarchy'!A:A,'Product Hierarchy'!E:E)</f>
        <v>Drywall Auto Tools</v>
      </c>
      <c r="F107" s="75" t="str">
        <f>_xlfn.XLOOKUP(B107,'Product Hierarchy'!A:A,'Product Hierarchy'!F:F)</f>
        <v>Corner Finishers</v>
      </c>
      <c r="G107" s="76">
        <v>500.49</v>
      </c>
      <c r="H107" s="76">
        <v>425.42</v>
      </c>
      <c r="I107" s="6">
        <v>297.79000000000002</v>
      </c>
      <c r="J107" s="5" t="s">
        <v>26</v>
      </c>
      <c r="K107" s="5">
        <v>1</v>
      </c>
      <c r="L107" s="5">
        <v>12</v>
      </c>
      <c r="M107" s="43"/>
      <c r="N107" s="7">
        <f t="shared" si="2"/>
        <v>0</v>
      </c>
      <c r="O107" s="97"/>
    </row>
    <row r="108" spans="1:15" x14ac:dyDescent="0.25">
      <c r="A108" s="104">
        <v>450140</v>
      </c>
      <c r="B108" s="4" t="s">
        <v>272</v>
      </c>
      <c r="C108" s="4" t="s">
        <v>997</v>
      </c>
      <c r="D108" s="75" t="str">
        <f>_xlfn.XLOOKUP(B108,'Product Hierarchy'!A:A,'Product Hierarchy'!C:C)</f>
        <v>DEWALT</v>
      </c>
      <c r="E108" s="75" t="str">
        <f>_xlfn.XLOOKUP(B108,'Product Hierarchy'!A:A,'Product Hierarchy'!E:E)</f>
        <v>Drywall Auto Tools</v>
      </c>
      <c r="F108" s="75" t="str">
        <f>_xlfn.XLOOKUP(B108,'Product Hierarchy'!A:A,'Product Hierarchy'!F:F)</f>
        <v>Handles</v>
      </c>
      <c r="G108" s="76">
        <v>368.49</v>
      </c>
      <c r="H108" s="76">
        <v>313.22000000000003</v>
      </c>
      <c r="I108" s="6">
        <v>219.25</v>
      </c>
      <c r="J108" s="5" t="s">
        <v>26</v>
      </c>
      <c r="K108" s="5">
        <v>1</v>
      </c>
      <c r="L108" s="5">
        <v>6</v>
      </c>
      <c r="M108" s="43"/>
      <c r="N108" s="7">
        <f t="shared" si="2"/>
        <v>0</v>
      </c>
      <c r="O108" s="97"/>
    </row>
    <row r="109" spans="1:15" x14ac:dyDescent="0.25">
      <c r="A109" s="104">
        <v>450141</v>
      </c>
      <c r="B109" s="4" t="s">
        <v>273</v>
      </c>
      <c r="C109" s="4" t="s">
        <v>960</v>
      </c>
      <c r="D109" s="75" t="str">
        <f>_xlfn.XLOOKUP(B109,'Product Hierarchy'!A:A,'Product Hierarchy'!C:C)</f>
        <v>DEWALT</v>
      </c>
      <c r="E109" s="75" t="str">
        <f>_xlfn.XLOOKUP(B109,'Product Hierarchy'!A:A,'Product Hierarchy'!E:E)</f>
        <v>Drywall Auto Tools</v>
      </c>
      <c r="F109" s="75" t="str">
        <f>_xlfn.XLOOKUP(B109,'Product Hierarchy'!A:A,'Product Hierarchy'!F:F)</f>
        <v>Auto Tapers</v>
      </c>
      <c r="G109" s="76">
        <v>1699.99</v>
      </c>
      <c r="H109" s="76">
        <v>1444.99</v>
      </c>
      <c r="I109" s="6">
        <v>1011.49</v>
      </c>
      <c r="J109" s="5" t="s">
        <v>26</v>
      </c>
      <c r="K109" s="5">
        <v>1</v>
      </c>
      <c r="L109" s="5">
        <v>4</v>
      </c>
      <c r="M109" s="43"/>
      <c r="N109" s="7">
        <f t="shared" si="2"/>
        <v>0</v>
      </c>
      <c r="O109" s="97"/>
    </row>
    <row r="110" spans="1:15" x14ac:dyDescent="0.25">
      <c r="A110" s="104">
        <v>450142</v>
      </c>
      <c r="B110" s="4" t="s">
        <v>274</v>
      </c>
      <c r="C110" s="4" t="s">
        <v>981</v>
      </c>
      <c r="D110" s="75" t="str">
        <f>_xlfn.XLOOKUP(B110,'Product Hierarchy'!A:A,'Product Hierarchy'!C:C)</f>
        <v>DEWALT</v>
      </c>
      <c r="E110" s="75" t="str">
        <f>_xlfn.XLOOKUP(B110,'Product Hierarchy'!A:A,'Product Hierarchy'!E:E)</f>
        <v>Drywall Auto Tools</v>
      </c>
      <c r="F110" s="75" t="str">
        <f>_xlfn.XLOOKUP(B110,'Product Hierarchy'!A:A,'Product Hierarchy'!F:F)</f>
        <v>Flat Boxes</v>
      </c>
      <c r="G110" s="76">
        <v>446.49</v>
      </c>
      <c r="H110" s="76">
        <v>379.52</v>
      </c>
      <c r="I110" s="6">
        <v>265.66000000000003</v>
      </c>
      <c r="J110" s="5" t="s">
        <v>26</v>
      </c>
      <c r="K110" s="5">
        <v>1</v>
      </c>
      <c r="L110" s="5">
        <v>6</v>
      </c>
      <c r="M110" s="43"/>
      <c r="N110" s="7">
        <f t="shared" si="2"/>
        <v>0</v>
      </c>
      <c r="O110" s="97"/>
    </row>
    <row r="111" spans="1:15" x14ac:dyDescent="0.25">
      <c r="A111" s="104">
        <v>450143</v>
      </c>
      <c r="B111" s="4" t="s">
        <v>275</v>
      </c>
      <c r="C111" s="4" t="s">
        <v>983</v>
      </c>
      <c r="D111" s="75" t="str">
        <f>_xlfn.XLOOKUP(B111,'Product Hierarchy'!A:A,'Product Hierarchy'!C:C)</f>
        <v>DEWALT</v>
      </c>
      <c r="E111" s="75" t="str">
        <f>_xlfn.XLOOKUP(B111,'Product Hierarchy'!A:A,'Product Hierarchy'!E:E)</f>
        <v>Drywall Auto Tools</v>
      </c>
      <c r="F111" s="75" t="str">
        <f>_xlfn.XLOOKUP(B111,'Product Hierarchy'!A:A,'Product Hierarchy'!F:F)</f>
        <v>Flat Boxes</v>
      </c>
      <c r="G111" s="76">
        <v>457.49</v>
      </c>
      <c r="H111" s="76">
        <v>388.87</v>
      </c>
      <c r="I111" s="6">
        <v>272.20999999999998</v>
      </c>
      <c r="J111" s="5" t="s">
        <v>26</v>
      </c>
      <c r="K111" s="5">
        <v>1</v>
      </c>
      <c r="L111" s="5">
        <v>6</v>
      </c>
      <c r="M111" s="43"/>
      <c r="N111" s="7">
        <f t="shared" si="2"/>
        <v>0</v>
      </c>
      <c r="O111" s="97"/>
    </row>
    <row r="112" spans="1:15" x14ac:dyDescent="0.25">
      <c r="A112" s="104">
        <v>450144</v>
      </c>
      <c r="B112" s="4" t="s">
        <v>276</v>
      </c>
      <c r="C112" s="4" t="s">
        <v>984</v>
      </c>
      <c r="D112" s="75" t="str">
        <f>_xlfn.XLOOKUP(B112,'Product Hierarchy'!A:A,'Product Hierarchy'!C:C)</f>
        <v>DEWALT</v>
      </c>
      <c r="E112" s="75" t="str">
        <f>_xlfn.XLOOKUP(B112,'Product Hierarchy'!A:A,'Product Hierarchy'!E:E)</f>
        <v>Drywall Auto Tools</v>
      </c>
      <c r="F112" s="75" t="str">
        <f>_xlfn.XLOOKUP(B112,'Product Hierarchy'!A:A,'Product Hierarchy'!F:F)</f>
        <v>Flat Boxes</v>
      </c>
      <c r="G112" s="76">
        <v>468.99</v>
      </c>
      <c r="H112" s="76">
        <v>398.64</v>
      </c>
      <c r="I112" s="6">
        <v>279.05</v>
      </c>
      <c r="J112" s="5" t="s">
        <v>26</v>
      </c>
      <c r="K112" s="5">
        <v>1</v>
      </c>
      <c r="L112" s="5">
        <v>6</v>
      </c>
      <c r="M112" s="43"/>
      <c r="N112" s="7">
        <f t="shared" ref="N112:N144" si="3">M112*I112</f>
        <v>0</v>
      </c>
      <c r="O112" s="97"/>
    </row>
    <row r="113" spans="1:15" x14ac:dyDescent="0.25">
      <c r="A113" s="104">
        <v>450145</v>
      </c>
      <c r="B113" s="4" t="s">
        <v>277</v>
      </c>
      <c r="C113" s="4" t="s">
        <v>985</v>
      </c>
      <c r="D113" s="75" t="str">
        <f>_xlfn.XLOOKUP(B113,'Product Hierarchy'!A:A,'Product Hierarchy'!C:C)</f>
        <v>DEWALT</v>
      </c>
      <c r="E113" s="75" t="str">
        <f>_xlfn.XLOOKUP(B113,'Product Hierarchy'!A:A,'Product Hierarchy'!E:E)</f>
        <v>Drywall Auto Tools</v>
      </c>
      <c r="F113" s="75" t="str">
        <f>_xlfn.XLOOKUP(B113,'Product Hierarchy'!A:A,'Product Hierarchy'!F:F)</f>
        <v>Flat Boxes</v>
      </c>
      <c r="G113" s="76">
        <v>468.99</v>
      </c>
      <c r="H113" s="76">
        <v>398.64</v>
      </c>
      <c r="I113" s="6">
        <v>279.05</v>
      </c>
      <c r="J113" s="5" t="s">
        <v>26</v>
      </c>
      <c r="K113" s="5">
        <v>1</v>
      </c>
      <c r="L113" s="5">
        <v>6</v>
      </c>
      <c r="M113" s="43"/>
      <c r="N113" s="7">
        <f t="shared" si="3"/>
        <v>0</v>
      </c>
      <c r="O113" s="97"/>
    </row>
    <row r="114" spans="1:15" x14ac:dyDescent="0.25">
      <c r="A114" s="104">
        <v>450146</v>
      </c>
      <c r="B114" s="4" t="s">
        <v>278</v>
      </c>
      <c r="C114" s="4" t="s">
        <v>986</v>
      </c>
      <c r="D114" s="75" t="str">
        <f>_xlfn.XLOOKUP(B114,'Product Hierarchy'!A:A,'Product Hierarchy'!C:C)</f>
        <v>DEWALT</v>
      </c>
      <c r="E114" s="75" t="str">
        <f>_xlfn.XLOOKUP(B114,'Product Hierarchy'!A:A,'Product Hierarchy'!E:E)</f>
        <v>Drywall Auto Tools</v>
      </c>
      <c r="F114" s="75" t="str">
        <f>_xlfn.XLOOKUP(B114,'Product Hierarchy'!A:A,'Product Hierarchy'!F:F)</f>
        <v>Flat Boxes</v>
      </c>
      <c r="G114" s="76">
        <v>479.99</v>
      </c>
      <c r="H114" s="76">
        <v>407.99</v>
      </c>
      <c r="I114" s="6">
        <v>285.58999999999997</v>
      </c>
      <c r="J114" s="5" t="s">
        <v>26</v>
      </c>
      <c r="K114" s="5">
        <v>1</v>
      </c>
      <c r="L114" s="5">
        <v>6</v>
      </c>
      <c r="M114" s="43"/>
      <c r="N114" s="7">
        <f t="shared" si="3"/>
        <v>0</v>
      </c>
      <c r="O114" s="97"/>
    </row>
    <row r="115" spans="1:15" x14ac:dyDescent="0.25">
      <c r="A115" s="104">
        <v>450147</v>
      </c>
      <c r="B115" s="4" t="s">
        <v>279</v>
      </c>
      <c r="C115" s="4" t="s">
        <v>987</v>
      </c>
      <c r="D115" s="75" t="str">
        <f>_xlfn.XLOOKUP(B115,'Product Hierarchy'!A:A,'Product Hierarchy'!C:C)</f>
        <v>DEWALT</v>
      </c>
      <c r="E115" s="75" t="str">
        <f>_xlfn.XLOOKUP(B115,'Product Hierarchy'!A:A,'Product Hierarchy'!E:E)</f>
        <v>Drywall Auto Tools</v>
      </c>
      <c r="F115" s="75" t="str">
        <f>_xlfn.XLOOKUP(B115,'Product Hierarchy'!A:A,'Product Hierarchy'!F:F)</f>
        <v>Flat Boxes</v>
      </c>
      <c r="G115" s="76">
        <v>496.49</v>
      </c>
      <c r="H115" s="76">
        <v>422.02</v>
      </c>
      <c r="I115" s="6">
        <v>295.41000000000003</v>
      </c>
      <c r="J115" s="5" t="s">
        <v>26</v>
      </c>
      <c r="K115" s="5">
        <v>1</v>
      </c>
      <c r="L115" s="5">
        <v>6</v>
      </c>
      <c r="M115" s="43"/>
      <c r="N115" s="7">
        <f t="shared" si="3"/>
        <v>0</v>
      </c>
      <c r="O115" s="97"/>
    </row>
    <row r="116" spans="1:15" x14ac:dyDescent="0.25">
      <c r="A116" s="104">
        <v>450148</v>
      </c>
      <c r="B116" s="4" t="s">
        <v>280</v>
      </c>
      <c r="C116" s="4" t="s">
        <v>988</v>
      </c>
      <c r="D116" s="75" t="str">
        <f>_xlfn.XLOOKUP(B116,'Product Hierarchy'!A:A,'Product Hierarchy'!C:C)</f>
        <v>DEWALT</v>
      </c>
      <c r="E116" s="75" t="str">
        <f>_xlfn.XLOOKUP(B116,'Product Hierarchy'!A:A,'Product Hierarchy'!E:E)</f>
        <v>Drywall Auto Tools</v>
      </c>
      <c r="F116" s="75" t="str">
        <f>_xlfn.XLOOKUP(B116,'Product Hierarchy'!A:A,'Product Hierarchy'!F:F)</f>
        <v>Flat Boxes</v>
      </c>
      <c r="G116" s="76">
        <v>485.49</v>
      </c>
      <c r="H116" s="76">
        <v>412.67</v>
      </c>
      <c r="I116" s="6">
        <v>288.87</v>
      </c>
      <c r="J116" s="5" t="s">
        <v>26</v>
      </c>
      <c r="K116" s="5">
        <v>1</v>
      </c>
      <c r="L116" s="5">
        <v>6</v>
      </c>
      <c r="M116" s="43"/>
      <c r="N116" s="7">
        <f t="shared" si="3"/>
        <v>0</v>
      </c>
      <c r="O116" s="97"/>
    </row>
    <row r="117" spans="1:15" x14ac:dyDescent="0.25">
      <c r="A117" s="104">
        <v>450149</v>
      </c>
      <c r="B117" s="4" t="s">
        <v>281</v>
      </c>
      <c r="C117" s="4" t="s">
        <v>2196</v>
      </c>
      <c r="D117" s="75" t="str">
        <f>_xlfn.XLOOKUP(B117,'Product Hierarchy'!A:A,'Product Hierarchy'!C:C)</f>
        <v>DEWALT</v>
      </c>
      <c r="E117" s="75" t="str">
        <f>_xlfn.XLOOKUP(B117,'Product Hierarchy'!A:A,'Product Hierarchy'!E:E)</f>
        <v>Drywall Auto Tools</v>
      </c>
      <c r="F117" s="75" t="str">
        <f>_xlfn.XLOOKUP(B117,'Product Hierarchy'!A:A,'Product Hierarchy'!F:F)</f>
        <v>Compound Pumps</v>
      </c>
      <c r="G117" s="76">
        <v>532.49</v>
      </c>
      <c r="H117" s="76">
        <v>452.62</v>
      </c>
      <c r="I117" s="6">
        <v>316.83</v>
      </c>
      <c r="J117" s="5" t="s">
        <v>26</v>
      </c>
      <c r="K117" s="5">
        <v>1</v>
      </c>
      <c r="L117" s="5">
        <v>4</v>
      </c>
      <c r="M117" s="43"/>
      <c r="N117" s="7">
        <f t="shared" si="3"/>
        <v>0</v>
      </c>
      <c r="O117" s="97"/>
    </row>
    <row r="118" spans="1:15" x14ac:dyDescent="0.25">
      <c r="A118" s="104">
        <v>450150</v>
      </c>
      <c r="B118" s="4" t="s">
        <v>282</v>
      </c>
      <c r="C118" s="4" t="s">
        <v>963</v>
      </c>
      <c r="D118" s="75" t="str">
        <f>_xlfn.XLOOKUP(B118,'Product Hierarchy'!A:A,'Product Hierarchy'!C:C)</f>
        <v>DEWALT</v>
      </c>
      <c r="E118" s="75" t="str">
        <f>_xlfn.XLOOKUP(B118,'Product Hierarchy'!A:A,'Product Hierarchy'!E:E)</f>
        <v>Drywall Auto Tools</v>
      </c>
      <c r="F118" s="75" t="str">
        <f>_xlfn.XLOOKUP(B118,'Product Hierarchy'!A:A,'Product Hierarchy'!F:F)</f>
        <v>Compound Dispensers</v>
      </c>
      <c r="G118" s="76">
        <v>1099.99</v>
      </c>
      <c r="H118" s="76">
        <v>934.99</v>
      </c>
      <c r="I118" s="6">
        <v>654.49</v>
      </c>
      <c r="J118" s="5" t="s">
        <v>26</v>
      </c>
      <c r="K118" s="5">
        <v>1</v>
      </c>
      <c r="L118" s="5">
        <v>4</v>
      </c>
      <c r="M118" s="43"/>
      <c r="N118" s="7">
        <f t="shared" si="3"/>
        <v>0</v>
      </c>
      <c r="O118" s="97"/>
    </row>
    <row r="119" spans="1:15" x14ac:dyDescent="0.25">
      <c r="A119" s="104">
        <v>450152</v>
      </c>
      <c r="B119" s="4" t="s">
        <v>283</v>
      </c>
      <c r="C119" s="4" t="s">
        <v>999</v>
      </c>
      <c r="D119" s="75" t="str">
        <f>_xlfn.XLOOKUP(B119,'Product Hierarchy'!A:A,'Product Hierarchy'!C:C)</f>
        <v>DEWALT</v>
      </c>
      <c r="E119" s="75" t="str">
        <f>_xlfn.XLOOKUP(B119,'Product Hierarchy'!A:A,'Product Hierarchy'!E:E)</f>
        <v>Drywall Auto Tools</v>
      </c>
      <c r="F119" s="75" t="str">
        <f>_xlfn.XLOOKUP(B119,'Product Hierarchy'!A:A,'Product Hierarchy'!F:F)</f>
        <v>Handles</v>
      </c>
      <c r="G119" s="76">
        <v>86.99</v>
      </c>
      <c r="H119" s="76">
        <v>73.94</v>
      </c>
      <c r="I119" s="6">
        <v>51.76</v>
      </c>
      <c r="J119" s="5" t="s">
        <v>26</v>
      </c>
      <c r="K119" s="5">
        <v>6</v>
      </c>
      <c r="L119" s="5">
        <v>6</v>
      </c>
      <c r="M119" s="43"/>
      <c r="N119" s="7">
        <f t="shared" si="3"/>
        <v>0</v>
      </c>
      <c r="O119" s="97"/>
    </row>
    <row r="120" spans="1:15" x14ac:dyDescent="0.25">
      <c r="A120" s="104">
        <v>450153</v>
      </c>
      <c r="B120" s="4" t="s">
        <v>284</v>
      </c>
      <c r="C120" s="4" t="s">
        <v>1000</v>
      </c>
      <c r="D120" s="75" t="str">
        <f>_xlfn.XLOOKUP(B120,'Product Hierarchy'!A:A,'Product Hierarchy'!C:C)</f>
        <v>DEWALT</v>
      </c>
      <c r="E120" s="75" t="str">
        <f>_xlfn.XLOOKUP(B120,'Product Hierarchy'!A:A,'Product Hierarchy'!E:E)</f>
        <v>Drywall Auto Tools</v>
      </c>
      <c r="F120" s="75" t="str">
        <f>_xlfn.XLOOKUP(B120,'Product Hierarchy'!A:A,'Product Hierarchy'!F:F)</f>
        <v>Handles</v>
      </c>
      <c r="G120" s="76">
        <v>357.49</v>
      </c>
      <c r="H120" s="76">
        <v>303.87</v>
      </c>
      <c r="I120" s="6">
        <v>212.71</v>
      </c>
      <c r="J120" s="5" t="s">
        <v>26</v>
      </c>
      <c r="K120" s="5">
        <v>6</v>
      </c>
      <c r="L120" s="5">
        <v>6</v>
      </c>
      <c r="M120" s="43"/>
      <c r="N120" s="7">
        <f t="shared" si="3"/>
        <v>0</v>
      </c>
      <c r="O120" s="97"/>
    </row>
    <row r="121" spans="1:15" x14ac:dyDescent="0.25">
      <c r="A121" s="104">
        <v>450154</v>
      </c>
      <c r="B121" s="4" t="s">
        <v>285</v>
      </c>
      <c r="C121" s="4" t="s">
        <v>1001</v>
      </c>
      <c r="D121" s="75" t="str">
        <f>_xlfn.XLOOKUP(B121,'Product Hierarchy'!A:A,'Product Hierarchy'!C:C)</f>
        <v>DEWALT</v>
      </c>
      <c r="E121" s="75" t="str">
        <f>_xlfn.XLOOKUP(B121,'Product Hierarchy'!A:A,'Product Hierarchy'!E:E)</f>
        <v>Drywall Auto Tools</v>
      </c>
      <c r="F121" s="75" t="str">
        <f>_xlfn.XLOOKUP(B121,'Product Hierarchy'!A:A,'Product Hierarchy'!F:F)</f>
        <v>Handles</v>
      </c>
      <c r="G121" s="76">
        <v>346.49</v>
      </c>
      <c r="H121" s="76">
        <v>294.52</v>
      </c>
      <c r="I121" s="6">
        <v>206.16</v>
      </c>
      <c r="J121" s="5" t="s">
        <v>26</v>
      </c>
      <c r="K121" s="5">
        <v>6</v>
      </c>
      <c r="L121" s="5">
        <v>6</v>
      </c>
      <c r="M121" s="43"/>
      <c r="N121" s="7">
        <f t="shared" si="3"/>
        <v>0</v>
      </c>
      <c r="O121" s="97"/>
    </row>
    <row r="122" spans="1:15" x14ac:dyDescent="0.25">
      <c r="A122" s="104">
        <v>450155</v>
      </c>
      <c r="B122" s="4" t="s">
        <v>286</v>
      </c>
      <c r="C122" s="4" t="s">
        <v>1002</v>
      </c>
      <c r="D122" s="75" t="str">
        <f>_xlfn.XLOOKUP(B122,'Product Hierarchy'!A:A,'Product Hierarchy'!C:C)</f>
        <v>DEWALT</v>
      </c>
      <c r="E122" s="75" t="str">
        <f>_xlfn.XLOOKUP(B122,'Product Hierarchy'!A:A,'Product Hierarchy'!E:E)</f>
        <v>Drywall Auto Tools</v>
      </c>
      <c r="F122" s="75" t="str">
        <f>_xlfn.XLOOKUP(B122,'Product Hierarchy'!A:A,'Product Hierarchy'!F:F)</f>
        <v>Handles</v>
      </c>
      <c r="G122" s="76">
        <v>324.99</v>
      </c>
      <c r="H122" s="76">
        <v>276.24</v>
      </c>
      <c r="I122" s="6">
        <v>193.37</v>
      </c>
      <c r="J122" s="5" t="s">
        <v>26</v>
      </c>
      <c r="K122" s="5">
        <v>6</v>
      </c>
      <c r="L122" s="5">
        <v>6</v>
      </c>
      <c r="M122" s="43"/>
      <c r="N122" s="7">
        <f t="shared" si="3"/>
        <v>0</v>
      </c>
      <c r="O122" s="97"/>
    </row>
    <row r="123" spans="1:15" x14ac:dyDescent="0.25">
      <c r="A123" s="104">
        <v>450157</v>
      </c>
      <c r="B123" s="4" t="s">
        <v>287</v>
      </c>
      <c r="C123" s="4" t="s">
        <v>1003</v>
      </c>
      <c r="D123" s="75" t="str">
        <f>_xlfn.XLOOKUP(B123,'Product Hierarchy'!A:A,'Product Hierarchy'!C:C)</f>
        <v>DEWALT</v>
      </c>
      <c r="E123" s="75" t="str">
        <f>_xlfn.XLOOKUP(B123,'Product Hierarchy'!A:A,'Product Hierarchy'!E:E)</f>
        <v>Drywall Auto Tools</v>
      </c>
      <c r="F123" s="75" t="str">
        <f>_xlfn.XLOOKUP(B123,'Product Hierarchy'!A:A,'Product Hierarchy'!F:F)</f>
        <v>Handles</v>
      </c>
      <c r="G123" s="76">
        <v>210.98000000000002</v>
      </c>
      <c r="H123" s="76">
        <v>179.33</v>
      </c>
      <c r="I123" s="6">
        <v>125.53</v>
      </c>
      <c r="J123" s="5" t="s">
        <v>26</v>
      </c>
      <c r="K123" s="5">
        <v>6</v>
      </c>
      <c r="L123" s="5">
        <v>6</v>
      </c>
      <c r="M123" s="43"/>
      <c r="N123" s="7">
        <f t="shared" si="3"/>
        <v>0</v>
      </c>
      <c r="O123" s="97"/>
    </row>
    <row r="124" spans="1:15" x14ac:dyDescent="0.25">
      <c r="A124" s="104">
        <v>450158</v>
      </c>
      <c r="B124" s="4" t="s">
        <v>288</v>
      </c>
      <c r="C124" s="4" t="s">
        <v>1004</v>
      </c>
      <c r="D124" s="75" t="str">
        <f>_xlfn.XLOOKUP(B124,'Product Hierarchy'!A:A,'Product Hierarchy'!C:C)</f>
        <v>DEWALT</v>
      </c>
      <c r="E124" s="75" t="str">
        <f>_xlfn.XLOOKUP(B124,'Product Hierarchy'!A:A,'Product Hierarchy'!E:E)</f>
        <v>Drywall Auto Tools</v>
      </c>
      <c r="F124" s="75" t="str">
        <f>_xlfn.XLOOKUP(B124,'Product Hierarchy'!A:A,'Product Hierarchy'!F:F)</f>
        <v>Handles</v>
      </c>
      <c r="G124" s="76">
        <v>205.98000000000002</v>
      </c>
      <c r="H124" s="76">
        <v>175.08</v>
      </c>
      <c r="I124" s="6">
        <v>122.56</v>
      </c>
      <c r="J124" s="5" t="s">
        <v>26</v>
      </c>
      <c r="K124" s="5">
        <v>6</v>
      </c>
      <c r="L124" s="5">
        <v>6</v>
      </c>
      <c r="M124" s="43"/>
      <c r="N124" s="7">
        <f t="shared" si="3"/>
        <v>0</v>
      </c>
      <c r="O124" s="97"/>
    </row>
    <row r="125" spans="1:15" x14ac:dyDescent="0.25">
      <c r="A125" s="104">
        <v>450159</v>
      </c>
      <c r="B125" s="4" t="s">
        <v>289</v>
      </c>
      <c r="C125" s="4" t="s">
        <v>1005</v>
      </c>
      <c r="D125" s="75" t="str">
        <f>_xlfn.XLOOKUP(B125,'Product Hierarchy'!A:A,'Product Hierarchy'!C:C)</f>
        <v>DEWALT</v>
      </c>
      <c r="E125" s="75" t="str">
        <f>_xlfn.XLOOKUP(B125,'Product Hierarchy'!A:A,'Product Hierarchy'!E:E)</f>
        <v>Drywall Auto Tools</v>
      </c>
      <c r="F125" s="75" t="str">
        <f>_xlfn.XLOOKUP(B125,'Product Hierarchy'!A:A,'Product Hierarchy'!F:F)</f>
        <v>Handles</v>
      </c>
      <c r="G125" s="76">
        <v>219.98</v>
      </c>
      <c r="H125" s="76">
        <v>186.98</v>
      </c>
      <c r="I125" s="6">
        <v>130.88999999999999</v>
      </c>
      <c r="J125" s="5" t="s">
        <v>26</v>
      </c>
      <c r="K125" s="5">
        <v>6</v>
      </c>
      <c r="L125" s="5">
        <v>6</v>
      </c>
      <c r="M125" s="43"/>
      <c r="N125" s="7">
        <f t="shared" si="3"/>
        <v>0</v>
      </c>
      <c r="O125" s="97"/>
    </row>
    <row r="126" spans="1:15" x14ac:dyDescent="0.25">
      <c r="A126" s="104">
        <v>450160</v>
      </c>
      <c r="B126" s="4" t="s">
        <v>290</v>
      </c>
      <c r="C126" s="4" t="s">
        <v>1006</v>
      </c>
      <c r="D126" s="75" t="str">
        <f>_xlfn.XLOOKUP(B126,'Product Hierarchy'!A:A,'Product Hierarchy'!C:C)</f>
        <v>DEWALT</v>
      </c>
      <c r="E126" s="75" t="str">
        <f>_xlfn.XLOOKUP(B126,'Product Hierarchy'!A:A,'Product Hierarchy'!E:E)</f>
        <v>Drywall Auto Tools</v>
      </c>
      <c r="F126" s="75" t="str">
        <f>_xlfn.XLOOKUP(B126,'Product Hierarchy'!A:A,'Product Hierarchy'!F:F)</f>
        <v>Handles</v>
      </c>
      <c r="G126" s="76">
        <v>232.98</v>
      </c>
      <c r="H126" s="76">
        <v>198.03</v>
      </c>
      <c r="I126" s="6">
        <v>138.62</v>
      </c>
      <c r="J126" s="5" t="s">
        <v>26</v>
      </c>
      <c r="K126" s="5">
        <v>6</v>
      </c>
      <c r="L126" s="5">
        <v>6</v>
      </c>
      <c r="M126" s="43"/>
      <c r="N126" s="7">
        <f t="shared" si="3"/>
        <v>0</v>
      </c>
      <c r="O126" s="97"/>
    </row>
    <row r="127" spans="1:15" x14ac:dyDescent="0.25">
      <c r="A127" s="104">
        <v>450161</v>
      </c>
      <c r="B127" s="4" t="s">
        <v>291</v>
      </c>
      <c r="C127" s="4" t="s">
        <v>1007</v>
      </c>
      <c r="D127" s="75" t="str">
        <f>_xlfn.XLOOKUP(B127,'Product Hierarchy'!A:A,'Product Hierarchy'!C:C)</f>
        <v>DEWALT</v>
      </c>
      <c r="E127" s="75" t="str">
        <f>_xlfn.XLOOKUP(B127,'Product Hierarchy'!A:A,'Product Hierarchy'!E:E)</f>
        <v>Drywall Auto Tools</v>
      </c>
      <c r="F127" s="75" t="str">
        <f>_xlfn.XLOOKUP(B127,'Product Hierarchy'!A:A,'Product Hierarchy'!F:F)</f>
        <v>Handles</v>
      </c>
      <c r="G127" s="76">
        <v>227.98</v>
      </c>
      <c r="H127" s="76">
        <v>193.78</v>
      </c>
      <c r="I127" s="6">
        <v>135.65</v>
      </c>
      <c r="J127" s="5" t="s">
        <v>26</v>
      </c>
      <c r="K127" s="5">
        <v>6</v>
      </c>
      <c r="L127" s="5">
        <v>6</v>
      </c>
      <c r="M127" s="43"/>
      <c r="N127" s="7">
        <f t="shared" si="3"/>
        <v>0</v>
      </c>
      <c r="O127" s="97"/>
    </row>
    <row r="128" spans="1:15" x14ac:dyDescent="0.25">
      <c r="A128" s="104">
        <v>450162</v>
      </c>
      <c r="B128" s="4" t="s">
        <v>292</v>
      </c>
      <c r="C128" s="4" t="s">
        <v>1008</v>
      </c>
      <c r="D128" s="75" t="str">
        <f>_xlfn.XLOOKUP(B128,'Product Hierarchy'!A:A,'Product Hierarchy'!C:C)</f>
        <v>DEWALT</v>
      </c>
      <c r="E128" s="75" t="str">
        <f>_xlfn.XLOOKUP(B128,'Product Hierarchy'!A:A,'Product Hierarchy'!E:E)</f>
        <v>Drywall Auto Tools</v>
      </c>
      <c r="F128" s="75" t="str">
        <f>_xlfn.XLOOKUP(B128,'Product Hierarchy'!A:A,'Product Hierarchy'!F:F)</f>
        <v>Handles</v>
      </c>
      <c r="G128" s="76">
        <v>241.98</v>
      </c>
      <c r="H128" s="76">
        <v>205.68</v>
      </c>
      <c r="I128" s="6">
        <v>143.97999999999999</v>
      </c>
      <c r="J128" s="5" t="s">
        <v>26</v>
      </c>
      <c r="K128" s="5">
        <v>6</v>
      </c>
      <c r="L128" s="5">
        <v>6</v>
      </c>
      <c r="M128" s="43"/>
      <c r="N128" s="7">
        <f t="shared" si="3"/>
        <v>0</v>
      </c>
      <c r="O128" s="97"/>
    </row>
    <row r="129" spans="1:15" x14ac:dyDescent="0.25">
      <c r="A129" s="104">
        <v>450164</v>
      </c>
      <c r="B129" s="4" t="s">
        <v>293</v>
      </c>
      <c r="C129" s="4" t="s">
        <v>1009</v>
      </c>
      <c r="D129" s="75" t="str">
        <f>_xlfn.XLOOKUP(B129,'Product Hierarchy'!A:A,'Product Hierarchy'!C:C)</f>
        <v>DEWALT</v>
      </c>
      <c r="E129" s="75" t="str">
        <f>_xlfn.XLOOKUP(B129,'Product Hierarchy'!A:A,'Product Hierarchy'!E:E)</f>
        <v>Drywall Auto Tools</v>
      </c>
      <c r="F129" s="75" t="str">
        <f>_xlfn.XLOOKUP(B129,'Product Hierarchy'!A:A,'Product Hierarchy'!F:F)</f>
        <v>Handles</v>
      </c>
      <c r="G129" s="76">
        <v>48.49</v>
      </c>
      <c r="H129" s="76">
        <v>41.22</v>
      </c>
      <c r="I129" s="6">
        <v>28.85</v>
      </c>
      <c r="J129" s="5" t="s">
        <v>26</v>
      </c>
      <c r="K129" s="5">
        <v>1</v>
      </c>
      <c r="L129" s="5">
        <v>60</v>
      </c>
      <c r="M129" s="43"/>
      <c r="N129" s="7">
        <f t="shared" si="3"/>
        <v>0</v>
      </c>
      <c r="O129" s="97"/>
    </row>
    <row r="130" spans="1:15" x14ac:dyDescent="0.25">
      <c r="A130" s="104">
        <v>450165</v>
      </c>
      <c r="B130" s="4" t="s">
        <v>294</v>
      </c>
      <c r="C130" s="4" t="s">
        <v>1010</v>
      </c>
      <c r="D130" s="75" t="str">
        <f>_xlfn.XLOOKUP(B130,'Product Hierarchy'!A:A,'Product Hierarchy'!C:C)</f>
        <v>DEWALT</v>
      </c>
      <c r="E130" s="75" t="str">
        <f>_xlfn.XLOOKUP(B130,'Product Hierarchy'!A:A,'Product Hierarchy'!E:E)</f>
        <v>Drywall Auto Tools</v>
      </c>
      <c r="F130" s="75" t="str">
        <f>_xlfn.XLOOKUP(B130,'Product Hierarchy'!A:A,'Product Hierarchy'!F:F)</f>
        <v>Handles</v>
      </c>
      <c r="G130" s="76">
        <v>43.49</v>
      </c>
      <c r="H130" s="76">
        <v>36.97</v>
      </c>
      <c r="I130" s="6">
        <v>25.88</v>
      </c>
      <c r="J130" s="5" t="s">
        <v>26</v>
      </c>
      <c r="K130" s="5">
        <v>1</v>
      </c>
      <c r="L130" s="5">
        <v>60</v>
      </c>
      <c r="M130" s="43"/>
      <c r="N130" s="7">
        <f t="shared" si="3"/>
        <v>0</v>
      </c>
      <c r="O130" s="97"/>
    </row>
    <row r="131" spans="1:15" x14ac:dyDescent="0.25">
      <c r="A131" s="104">
        <v>450166</v>
      </c>
      <c r="B131" s="4" t="s">
        <v>295</v>
      </c>
      <c r="C131" s="4" t="s">
        <v>1011</v>
      </c>
      <c r="D131" s="75" t="str">
        <f>_xlfn.XLOOKUP(B131,'Product Hierarchy'!A:A,'Product Hierarchy'!C:C)</f>
        <v>DEWALT</v>
      </c>
      <c r="E131" s="75" t="str">
        <f>_xlfn.XLOOKUP(B131,'Product Hierarchy'!A:A,'Product Hierarchy'!E:E)</f>
        <v>Drywall Auto Tools</v>
      </c>
      <c r="F131" s="75" t="str">
        <f>_xlfn.XLOOKUP(B131,'Product Hierarchy'!A:A,'Product Hierarchy'!F:F)</f>
        <v>Handles</v>
      </c>
      <c r="G131" s="76">
        <v>57.49</v>
      </c>
      <c r="H131" s="76">
        <v>48.87</v>
      </c>
      <c r="I131" s="6">
        <v>34.21</v>
      </c>
      <c r="J131" s="5" t="s">
        <v>26</v>
      </c>
      <c r="K131" s="5">
        <v>1</v>
      </c>
      <c r="L131" s="5">
        <v>60</v>
      </c>
      <c r="M131" s="43"/>
      <c r="N131" s="7">
        <f t="shared" si="3"/>
        <v>0</v>
      </c>
      <c r="O131" s="97"/>
    </row>
    <row r="132" spans="1:15" x14ac:dyDescent="0.25">
      <c r="A132" s="104">
        <v>450167</v>
      </c>
      <c r="B132" s="4" t="s">
        <v>296</v>
      </c>
      <c r="C132" s="4" t="s">
        <v>1012</v>
      </c>
      <c r="D132" s="75" t="str">
        <f>_xlfn.XLOOKUP(B132,'Product Hierarchy'!A:A,'Product Hierarchy'!C:C)</f>
        <v>DEWALT</v>
      </c>
      <c r="E132" s="75" t="str">
        <f>_xlfn.XLOOKUP(B132,'Product Hierarchy'!A:A,'Product Hierarchy'!E:E)</f>
        <v>Drywall Auto Tools</v>
      </c>
      <c r="F132" s="75" t="str">
        <f>_xlfn.XLOOKUP(B132,'Product Hierarchy'!A:A,'Product Hierarchy'!F:F)</f>
        <v>Handles</v>
      </c>
      <c r="G132" s="76">
        <v>162.49</v>
      </c>
      <c r="H132" s="76">
        <v>138.12</v>
      </c>
      <c r="I132" s="6">
        <v>96.68</v>
      </c>
      <c r="J132" s="5" t="s">
        <v>26</v>
      </c>
      <c r="K132" s="5">
        <v>6</v>
      </c>
      <c r="L132" s="5">
        <v>6</v>
      </c>
      <c r="M132" s="43"/>
      <c r="N132" s="7">
        <f t="shared" si="3"/>
        <v>0</v>
      </c>
      <c r="O132" s="97"/>
    </row>
    <row r="133" spans="1:15" x14ac:dyDescent="0.25">
      <c r="A133" s="104">
        <v>450168</v>
      </c>
      <c r="B133" s="4" t="s">
        <v>297</v>
      </c>
      <c r="C133" s="4" t="s">
        <v>1013</v>
      </c>
      <c r="D133" s="75" t="str">
        <f>_xlfn.XLOOKUP(B133,'Product Hierarchy'!A:A,'Product Hierarchy'!C:C)</f>
        <v>DEWALT</v>
      </c>
      <c r="E133" s="75" t="str">
        <f>_xlfn.XLOOKUP(B133,'Product Hierarchy'!A:A,'Product Hierarchy'!E:E)</f>
        <v>Drywall Auto Tools</v>
      </c>
      <c r="F133" s="75" t="str">
        <f>_xlfn.XLOOKUP(B133,'Product Hierarchy'!A:A,'Product Hierarchy'!F:F)</f>
        <v>Handles</v>
      </c>
      <c r="G133" s="76">
        <v>184.49</v>
      </c>
      <c r="H133" s="76">
        <v>156.82</v>
      </c>
      <c r="I133" s="6">
        <v>109.77</v>
      </c>
      <c r="J133" s="5" t="s">
        <v>26</v>
      </c>
      <c r="K133" s="5">
        <v>6</v>
      </c>
      <c r="L133" s="5">
        <v>6</v>
      </c>
      <c r="M133" s="43"/>
      <c r="N133" s="7">
        <f t="shared" si="3"/>
        <v>0</v>
      </c>
      <c r="O133" s="97"/>
    </row>
    <row r="134" spans="1:15" x14ac:dyDescent="0.25">
      <c r="A134" s="104">
        <v>450170</v>
      </c>
      <c r="B134" s="4" t="s">
        <v>1493</v>
      </c>
      <c r="C134" s="4" t="s">
        <v>1494</v>
      </c>
      <c r="D134" s="75" t="str">
        <f>_xlfn.XLOOKUP(B134,'Product Hierarchy'!A:A,'Product Hierarchy'!C:C)</f>
        <v>DEWALT</v>
      </c>
      <c r="E134" s="75" t="str">
        <f>_xlfn.XLOOKUP(B134,'Product Hierarchy'!A:A,'Product Hierarchy'!E:E)</f>
        <v>Drywall Hand Tools</v>
      </c>
      <c r="F134" s="75" t="str">
        <f>_xlfn.XLOOKUP(B134,'Product Hierarchy'!A:A,'Product Hierarchy'!F:F)</f>
        <v>Rollers</v>
      </c>
      <c r="G134" s="76">
        <v>19.489999999999998</v>
      </c>
      <c r="H134" s="76">
        <v>17.54</v>
      </c>
      <c r="I134" s="6">
        <v>12.28</v>
      </c>
      <c r="J134" s="5" t="s">
        <v>26</v>
      </c>
      <c r="K134" s="5">
        <v>6</v>
      </c>
      <c r="L134" s="5">
        <v>48</v>
      </c>
      <c r="M134" s="45"/>
      <c r="N134" s="7">
        <f t="shared" si="3"/>
        <v>0</v>
      </c>
      <c r="O134" s="97"/>
    </row>
    <row r="135" spans="1:15" x14ac:dyDescent="0.25">
      <c r="A135" s="104">
        <v>450171</v>
      </c>
      <c r="B135" s="4" t="s">
        <v>1496</v>
      </c>
      <c r="C135" s="4" t="s">
        <v>1497</v>
      </c>
      <c r="D135" s="75" t="str">
        <f>_xlfn.XLOOKUP(B135,'Product Hierarchy'!A:A,'Product Hierarchy'!C:C)</f>
        <v>DEWALT</v>
      </c>
      <c r="E135" s="75" t="str">
        <f>_xlfn.XLOOKUP(B135,'Product Hierarchy'!A:A,'Product Hierarchy'!E:E)</f>
        <v>Drywall Hand Tools</v>
      </c>
      <c r="F135" s="75" t="str">
        <f>_xlfn.XLOOKUP(B135,'Product Hierarchy'!A:A,'Product Hierarchy'!F:F)</f>
        <v>Rollers</v>
      </c>
      <c r="G135" s="76">
        <v>25.99</v>
      </c>
      <c r="H135" s="76">
        <v>23.39</v>
      </c>
      <c r="I135" s="6">
        <v>16.37</v>
      </c>
      <c r="J135" s="5" t="s">
        <v>26</v>
      </c>
      <c r="K135" s="5">
        <v>6</v>
      </c>
      <c r="L135" s="5">
        <v>24</v>
      </c>
      <c r="M135" s="45"/>
      <c r="N135" s="7">
        <f t="shared" si="3"/>
        <v>0</v>
      </c>
      <c r="O135" s="97"/>
    </row>
    <row r="136" spans="1:15" x14ac:dyDescent="0.25">
      <c r="A136" s="104">
        <v>450172</v>
      </c>
      <c r="B136" s="4" t="s">
        <v>165</v>
      </c>
      <c r="C136" s="4" t="s">
        <v>1672</v>
      </c>
      <c r="D136" s="75" t="str">
        <f>_xlfn.XLOOKUP(B136,'Product Hierarchy'!A:A,'Product Hierarchy'!C:C)</f>
        <v>DEWALT</v>
      </c>
      <c r="E136" s="75" t="str">
        <f>_xlfn.XLOOKUP(B136,'Product Hierarchy'!A:A,'Product Hierarchy'!E:E)</f>
        <v>Drywall Semi Auto Tools</v>
      </c>
      <c r="F136" s="75" t="str">
        <f>_xlfn.XLOOKUP(B136,'Product Hierarchy'!A:A,'Product Hierarchy'!F:F)</f>
        <v>Skimming Blades</v>
      </c>
      <c r="G136" s="76">
        <v>55.99</v>
      </c>
      <c r="H136" s="76">
        <v>50.39</v>
      </c>
      <c r="I136" s="6">
        <v>35.270000000000003</v>
      </c>
      <c r="J136" s="5" t="s">
        <v>26</v>
      </c>
      <c r="K136" s="5">
        <v>1</v>
      </c>
      <c r="L136" s="5">
        <v>12</v>
      </c>
      <c r="M136" s="43"/>
      <c r="N136" s="24">
        <f t="shared" si="3"/>
        <v>0</v>
      </c>
      <c r="O136" s="97"/>
    </row>
    <row r="137" spans="1:15" x14ac:dyDescent="0.25">
      <c r="A137" s="104">
        <v>450173</v>
      </c>
      <c r="B137" s="4" t="s">
        <v>166</v>
      </c>
      <c r="C137" s="4" t="s">
        <v>1674</v>
      </c>
      <c r="D137" s="75" t="str">
        <f>_xlfn.XLOOKUP(B137,'Product Hierarchy'!A:A,'Product Hierarchy'!C:C)</f>
        <v>DEWALT</v>
      </c>
      <c r="E137" s="75" t="str">
        <f>_xlfn.XLOOKUP(B137,'Product Hierarchy'!A:A,'Product Hierarchy'!E:E)</f>
        <v>Drywall Semi Auto Tools</v>
      </c>
      <c r="F137" s="75" t="str">
        <f>_xlfn.XLOOKUP(B137,'Product Hierarchy'!A:A,'Product Hierarchy'!F:F)</f>
        <v>Skimming Blades</v>
      </c>
      <c r="G137" s="76">
        <v>64.489999999999995</v>
      </c>
      <c r="H137" s="76">
        <v>58.04</v>
      </c>
      <c r="I137" s="6">
        <v>40.630000000000003</v>
      </c>
      <c r="J137" s="5" t="s">
        <v>26</v>
      </c>
      <c r="K137" s="5">
        <v>1</v>
      </c>
      <c r="L137" s="5">
        <v>12</v>
      </c>
      <c r="M137" s="43"/>
      <c r="N137" s="24">
        <f t="shared" si="3"/>
        <v>0</v>
      </c>
      <c r="O137" s="97"/>
    </row>
    <row r="138" spans="1:15" x14ac:dyDescent="0.25">
      <c r="A138" s="104">
        <v>450175</v>
      </c>
      <c r="B138" s="75" t="s">
        <v>167</v>
      </c>
      <c r="C138" s="75" t="s">
        <v>1675</v>
      </c>
      <c r="D138" s="75" t="str">
        <f>_xlfn.XLOOKUP(B138,'Product Hierarchy'!A:A,'Product Hierarchy'!C:C)</f>
        <v>DEWALT</v>
      </c>
      <c r="E138" s="75" t="str">
        <f>_xlfn.XLOOKUP(B138,'Product Hierarchy'!A:A,'Product Hierarchy'!E:E)</f>
        <v>Drywall Semi Auto Tools</v>
      </c>
      <c r="F138" s="75" t="str">
        <f>_xlfn.XLOOKUP(B138,'Product Hierarchy'!A:A,'Product Hierarchy'!F:F)</f>
        <v>Skimming Blades</v>
      </c>
      <c r="G138" s="76">
        <v>82.99</v>
      </c>
      <c r="H138" s="76">
        <v>74.69</v>
      </c>
      <c r="I138" s="6">
        <v>52.28</v>
      </c>
      <c r="J138" s="5" t="s">
        <v>26</v>
      </c>
      <c r="K138" s="5">
        <v>1</v>
      </c>
      <c r="L138" s="5">
        <v>12</v>
      </c>
      <c r="M138" s="43"/>
      <c r="N138" s="24">
        <f t="shared" si="3"/>
        <v>0</v>
      </c>
      <c r="O138" s="97"/>
    </row>
    <row r="139" spans="1:15" x14ac:dyDescent="0.25">
      <c r="A139" s="104">
        <v>450177</v>
      </c>
      <c r="B139" s="75" t="s">
        <v>168</v>
      </c>
      <c r="C139" s="75" t="s">
        <v>1676</v>
      </c>
      <c r="D139" s="75" t="str">
        <f>_xlfn.XLOOKUP(B139,'Product Hierarchy'!A:A,'Product Hierarchy'!C:C)</f>
        <v>DEWALT</v>
      </c>
      <c r="E139" s="75" t="str">
        <f>_xlfn.XLOOKUP(B139,'Product Hierarchy'!A:A,'Product Hierarchy'!E:E)</f>
        <v>Drywall Semi Auto Tools</v>
      </c>
      <c r="F139" s="75" t="str">
        <f>_xlfn.XLOOKUP(B139,'Product Hierarchy'!A:A,'Product Hierarchy'!F:F)</f>
        <v>Skimming Blades</v>
      </c>
      <c r="G139" s="76">
        <v>93.99</v>
      </c>
      <c r="H139" s="76">
        <v>84.59</v>
      </c>
      <c r="I139" s="6">
        <v>59.21</v>
      </c>
      <c r="J139" s="5" t="s">
        <v>26</v>
      </c>
      <c r="K139" s="5">
        <v>1</v>
      </c>
      <c r="L139" s="5">
        <v>4</v>
      </c>
      <c r="M139" s="43"/>
      <c r="N139" s="24">
        <f t="shared" si="3"/>
        <v>0</v>
      </c>
      <c r="O139" s="97"/>
    </row>
    <row r="140" spans="1:15" x14ac:dyDescent="0.25">
      <c r="A140" s="104">
        <v>450178</v>
      </c>
      <c r="B140" s="75" t="s">
        <v>169</v>
      </c>
      <c r="C140" s="75" t="s">
        <v>1677</v>
      </c>
      <c r="D140" s="75" t="str">
        <f>_xlfn.XLOOKUP(B140,'Product Hierarchy'!A:A,'Product Hierarchy'!C:C)</f>
        <v>DEWALT</v>
      </c>
      <c r="E140" s="75" t="str">
        <f>_xlfn.XLOOKUP(B140,'Product Hierarchy'!A:A,'Product Hierarchy'!E:E)</f>
        <v>Drywall Semi Auto Tools</v>
      </c>
      <c r="F140" s="75" t="str">
        <f>_xlfn.XLOOKUP(B140,'Product Hierarchy'!A:A,'Product Hierarchy'!F:F)</f>
        <v>Skimming Blades</v>
      </c>
      <c r="G140" s="76">
        <v>119.49</v>
      </c>
      <c r="H140" s="76">
        <v>107.54</v>
      </c>
      <c r="I140" s="6">
        <v>75.28</v>
      </c>
      <c r="J140" s="5" t="s">
        <v>26</v>
      </c>
      <c r="K140" s="5">
        <v>1</v>
      </c>
      <c r="L140" s="5">
        <v>4</v>
      </c>
      <c r="M140" s="43"/>
      <c r="N140" s="24">
        <f t="shared" si="3"/>
        <v>0</v>
      </c>
      <c r="O140" s="97"/>
    </row>
    <row r="141" spans="1:15" x14ac:dyDescent="0.25">
      <c r="A141" s="104">
        <v>450179</v>
      </c>
      <c r="B141" s="75" t="s">
        <v>4009</v>
      </c>
      <c r="C141" s="75" t="s">
        <v>4011</v>
      </c>
      <c r="D141" s="75" t="s">
        <v>922</v>
      </c>
      <c r="E141" s="75" t="s">
        <v>1640</v>
      </c>
      <c r="F141" s="75" t="s">
        <v>1673</v>
      </c>
      <c r="G141" s="76">
        <v>69.989999999999995</v>
      </c>
      <c r="H141" s="76">
        <v>62.99</v>
      </c>
      <c r="I141" s="6">
        <v>44.09</v>
      </c>
      <c r="J141" s="5" t="s">
        <v>26</v>
      </c>
      <c r="K141" s="5">
        <v>2</v>
      </c>
      <c r="L141" s="5">
        <v>4</v>
      </c>
      <c r="M141" s="43"/>
      <c r="N141" s="24">
        <f t="shared" si="3"/>
        <v>0</v>
      </c>
      <c r="O141" s="97"/>
    </row>
    <row r="142" spans="1:15" x14ac:dyDescent="0.25">
      <c r="A142" s="104">
        <v>450180</v>
      </c>
      <c r="B142" s="75" t="s">
        <v>170</v>
      </c>
      <c r="C142" s="75" t="s">
        <v>1678</v>
      </c>
      <c r="D142" s="75" t="str">
        <f>_xlfn.XLOOKUP(B142,'Product Hierarchy'!A:A,'Product Hierarchy'!C:C)</f>
        <v>DEWALT</v>
      </c>
      <c r="E142" s="75" t="str">
        <f>_xlfn.XLOOKUP(B142,'Product Hierarchy'!A:A,'Product Hierarchy'!E:E)</f>
        <v>Drywall Semi Auto Tools</v>
      </c>
      <c r="F142" s="75" t="str">
        <f>_xlfn.XLOOKUP(B142,'Product Hierarchy'!A:A,'Product Hierarchy'!F:F)</f>
        <v>Skimming Blades</v>
      </c>
      <c r="G142" s="76">
        <v>160.49</v>
      </c>
      <c r="H142" s="76">
        <v>144.44</v>
      </c>
      <c r="I142" s="6">
        <v>101.11</v>
      </c>
      <c r="J142" s="5" t="s">
        <v>26</v>
      </c>
      <c r="K142" s="5">
        <v>1</v>
      </c>
      <c r="L142" s="5">
        <v>4</v>
      </c>
      <c r="M142" s="43"/>
      <c r="N142" s="24">
        <f t="shared" si="3"/>
        <v>0</v>
      </c>
      <c r="O142" s="97"/>
    </row>
    <row r="143" spans="1:15" x14ac:dyDescent="0.25">
      <c r="A143" s="104">
        <v>450182</v>
      </c>
      <c r="B143" s="4" t="s">
        <v>171</v>
      </c>
      <c r="C143" s="4" t="s">
        <v>1679</v>
      </c>
      <c r="D143" s="75" t="str">
        <f>_xlfn.XLOOKUP(B143,'Product Hierarchy'!A:A,'Product Hierarchy'!C:C)</f>
        <v>DEWALT</v>
      </c>
      <c r="E143" s="75" t="str">
        <f>_xlfn.XLOOKUP(B143,'Product Hierarchy'!A:A,'Product Hierarchy'!E:E)</f>
        <v>Drywall Semi Auto Tools</v>
      </c>
      <c r="F143" s="75" t="str">
        <f>_xlfn.XLOOKUP(B143,'Product Hierarchy'!A:A,'Product Hierarchy'!F:F)</f>
        <v>Skimming Blades</v>
      </c>
      <c r="G143" s="76">
        <v>180.99</v>
      </c>
      <c r="H143" s="76">
        <v>162.88999999999999</v>
      </c>
      <c r="I143" s="6">
        <v>114.02</v>
      </c>
      <c r="J143" s="5" t="s">
        <v>26</v>
      </c>
      <c r="K143" s="5">
        <v>1</v>
      </c>
      <c r="L143" s="5">
        <v>6</v>
      </c>
      <c r="M143" s="43"/>
      <c r="N143" s="24">
        <f t="shared" si="3"/>
        <v>0</v>
      </c>
      <c r="O143" s="97"/>
    </row>
    <row r="144" spans="1:15" x14ac:dyDescent="0.25">
      <c r="A144" s="104">
        <v>450183</v>
      </c>
      <c r="B144" s="4" t="s">
        <v>172</v>
      </c>
      <c r="C144" s="4" t="s">
        <v>1651</v>
      </c>
      <c r="D144" s="75" t="str">
        <f>_xlfn.XLOOKUP(B144,'Product Hierarchy'!A:A,'Product Hierarchy'!C:C)</f>
        <v>DEWALT</v>
      </c>
      <c r="E144" s="75" t="str">
        <f>_xlfn.XLOOKUP(B144,'Product Hierarchy'!A:A,'Product Hierarchy'!E:E)</f>
        <v>Drywall Semi Auto Tools</v>
      </c>
      <c r="F144" s="75" t="str">
        <f>_xlfn.XLOOKUP(B144,'Product Hierarchy'!A:A,'Product Hierarchy'!F:F)</f>
        <v>Handles</v>
      </c>
      <c r="G144" s="76">
        <v>49.49</v>
      </c>
      <c r="H144" s="76">
        <v>44.54</v>
      </c>
      <c r="I144" s="6">
        <v>31.18</v>
      </c>
      <c r="J144" s="5" t="s">
        <v>26</v>
      </c>
      <c r="K144" s="5">
        <v>6</v>
      </c>
      <c r="L144" s="5">
        <v>24</v>
      </c>
      <c r="M144" s="43"/>
      <c r="N144" s="24">
        <f t="shared" si="3"/>
        <v>0</v>
      </c>
      <c r="O144" s="97"/>
    </row>
    <row r="145" spans="1:15" x14ac:dyDescent="0.25">
      <c r="A145" s="104">
        <v>450184</v>
      </c>
      <c r="B145" s="4" t="s">
        <v>173</v>
      </c>
      <c r="C145" s="4" t="s">
        <v>4360</v>
      </c>
      <c r="D145" s="75" t="str">
        <f>_xlfn.XLOOKUP(B145,'Product Hierarchy'!A:A,'Product Hierarchy'!C:C)</f>
        <v>DEWALT</v>
      </c>
      <c r="E145" s="75" t="str">
        <f>_xlfn.XLOOKUP(B145,'Product Hierarchy'!A:A,'Product Hierarchy'!E:E)</f>
        <v>Drywall Semi Auto Tools</v>
      </c>
      <c r="F145" s="75" t="str">
        <f>_xlfn.XLOOKUP(B145,'Product Hierarchy'!A:A,'Product Hierarchy'!F:F)</f>
        <v>Handles</v>
      </c>
      <c r="G145" s="76">
        <v>63.49</v>
      </c>
      <c r="H145" s="76">
        <v>57.14</v>
      </c>
      <c r="I145" s="6">
        <v>40</v>
      </c>
      <c r="J145" s="5" t="s">
        <v>26</v>
      </c>
      <c r="K145" s="5">
        <v>6</v>
      </c>
      <c r="L145" s="5">
        <v>24</v>
      </c>
      <c r="M145" s="43"/>
      <c r="N145" s="24">
        <f t="shared" ref="N145:N176" si="4">M145*I145</f>
        <v>0</v>
      </c>
      <c r="O145" s="97"/>
    </row>
    <row r="146" spans="1:15" x14ac:dyDescent="0.25">
      <c r="A146" s="104">
        <v>450185</v>
      </c>
      <c r="B146" s="4" t="s">
        <v>174</v>
      </c>
      <c r="C146" s="4" t="s">
        <v>1653</v>
      </c>
      <c r="D146" s="75" t="str">
        <f>_xlfn.XLOOKUP(B146,'Product Hierarchy'!A:A,'Product Hierarchy'!C:C)</f>
        <v>DEWALT</v>
      </c>
      <c r="E146" s="75" t="str">
        <f>_xlfn.XLOOKUP(B146,'Product Hierarchy'!A:A,'Product Hierarchy'!E:E)</f>
        <v>Drywall Semi Auto Tools</v>
      </c>
      <c r="F146" s="75" t="str">
        <f>_xlfn.XLOOKUP(B146,'Product Hierarchy'!A:A,'Product Hierarchy'!F:F)</f>
        <v>Handles</v>
      </c>
      <c r="G146" s="76">
        <v>77.489999999999995</v>
      </c>
      <c r="H146" s="76">
        <v>69.739999999999995</v>
      </c>
      <c r="I146" s="6">
        <v>48.82</v>
      </c>
      <c r="J146" s="5" t="s">
        <v>26</v>
      </c>
      <c r="K146" s="5">
        <v>6</v>
      </c>
      <c r="L146" s="5">
        <v>24</v>
      </c>
      <c r="M146" s="43"/>
      <c r="N146" s="24">
        <f t="shared" si="4"/>
        <v>0</v>
      </c>
      <c r="O146" s="97"/>
    </row>
    <row r="147" spans="1:15" x14ac:dyDescent="0.25">
      <c r="A147" s="104">
        <v>450187</v>
      </c>
      <c r="B147" s="4" t="s">
        <v>615</v>
      </c>
      <c r="C147" s="4" t="s">
        <v>3812</v>
      </c>
      <c r="D147" s="75" t="str">
        <f>_xlfn.XLOOKUP(B147,'Product Hierarchy'!A:A,'Product Hierarchy'!C:C)</f>
        <v>DEWALT</v>
      </c>
      <c r="E147" s="75" t="str">
        <f>_xlfn.XLOOKUP(B147,'Product Hierarchy'!A:A,'Product Hierarchy'!E:E)</f>
        <v>Drywall Semi Auto Tools</v>
      </c>
      <c r="F147" s="75" t="str">
        <f>_xlfn.XLOOKUP(B147,'Product Hierarchy'!A:A,'Product Hierarchy'!F:F)</f>
        <v>Skimming Blade Sets</v>
      </c>
      <c r="G147" s="76">
        <v>112.98</v>
      </c>
      <c r="H147" s="76">
        <v>96.03</v>
      </c>
      <c r="I147" s="6">
        <v>67.22</v>
      </c>
      <c r="J147" s="5" t="s">
        <v>26</v>
      </c>
      <c r="K147" s="5">
        <v>1</v>
      </c>
      <c r="L147" s="5">
        <v>1</v>
      </c>
      <c r="M147" s="45"/>
      <c r="N147" s="7">
        <f t="shared" si="4"/>
        <v>0</v>
      </c>
      <c r="O147" s="97"/>
    </row>
    <row r="148" spans="1:15" x14ac:dyDescent="0.25">
      <c r="A148" s="104">
        <v>450188</v>
      </c>
      <c r="B148" s="4" t="s">
        <v>175</v>
      </c>
      <c r="C148" s="4" t="s">
        <v>1680</v>
      </c>
      <c r="D148" s="75" t="str">
        <f>_xlfn.XLOOKUP(B148,'Product Hierarchy'!A:A,'Product Hierarchy'!C:C)</f>
        <v>DEWALT</v>
      </c>
      <c r="E148" s="75" t="str">
        <f>_xlfn.XLOOKUP(B148,'Product Hierarchy'!A:A,'Product Hierarchy'!E:E)</f>
        <v>Drywall Semi Auto Tools</v>
      </c>
      <c r="F148" s="75" t="str">
        <f>_xlfn.XLOOKUP(B148,'Product Hierarchy'!A:A,'Product Hierarchy'!F:F)</f>
        <v>Skimming Blades</v>
      </c>
      <c r="G148" s="76">
        <v>247.49</v>
      </c>
      <c r="H148" s="76">
        <v>222.74</v>
      </c>
      <c r="I148" s="6">
        <v>155.91999999999999</v>
      </c>
      <c r="J148" s="5" t="s">
        <v>26</v>
      </c>
      <c r="K148" s="5">
        <v>1</v>
      </c>
      <c r="L148" s="5">
        <v>6</v>
      </c>
      <c r="M148" s="43"/>
      <c r="N148" s="24">
        <f t="shared" si="4"/>
        <v>0</v>
      </c>
      <c r="O148" s="97"/>
    </row>
    <row r="149" spans="1:15" x14ac:dyDescent="0.25">
      <c r="A149" s="104">
        <v>450189</v>
      </c>
      <c r="B149" s="4" t="s">
        <v>176</v>
      </c>
      <c r="C149" s="4" t="s">
        <v>4019</v>
      </c>
      <c r="D149" s="75" t="str">
        <f>_xlfn.XLOOKUP(B149,'Product Hierarchy'!A:A,'Product Hierarchy'!C:C)</f>
        <v>DEWALT</v>
      </c>
      <c r="E149" s="75" t="str">
        <f>_xlfn.XLOOKUP(B149,'Product Hierarchy'!A:A,'Product Hierarchy'!E:E)</f>
        <v>Drywall Semi Auto Tools</v>
      </c>
      <c r="F149" s="75" t="str">
        <f>_xlfn.XLOOKUP(B149,'Product Hierarchy'!A:A,'Product Hierarchy'!F:F)</f>
        <v>Skimming Blades</v>
      </c>
      <c r="G149" s="76">
        <v>19.489999999999998</v>
      </c>
      <c r="H149" s="76">
        <v>17.54</v>
      </c>
      <c r="I149" s="6">
        <v>12.28</v>
      </c>
      <c r="J149" s="5" t="s">
        <v>26</v>
      </c>
      <c r="K149" s="5">
        <v>1</v>
      </c>
      <c r="L149" s="5">
        <v>24</v>
      </c>
      <c r="M149" s="43"/>
      <c r="N149" s="24">
        <f t="shared" si="4"/>
        <v>0</v>
      </c>
      <c r="O149" s="97"/>
    </row>
    <row r="150" spans="1:15" x14ac:dyDescent="0.25">
      <c r="A150" s="104">
        <v>450190</v>
      </c>
      <c r="B150" s="4" t="s">
        <v>177</v>
      </c>
      <c r="C150" s="4" t="s">
        <v>1681</v>
      </c>
      <c r="D150" s="75" t="str">
        <f>_xlfn.XLOOKUP(B150,'Product Hierarchy'!A:A,'Product Hierarchy'!C:C)</f>
        <v>DEWALT</v>
      </c>
      <c r="E150" s="75" t="str">
        <f>_xlfn.XLOOKUP(B150,'Product Hierarchy'!A:A,'Product Hierarchy'!E:E)</f>
        <v>Drywall Semi Auto Tools</v>
      </c>
      <c r="F150" s="75" t="str">
        <f>_xlfn.XLOOKUP(B150,'Product Hierarchy'!A:A,'Product Hierarchy'!F:F)</f>
        <v>Skimming Blades</v>
      </c>
      <c r="G150" s="76">
        <v>31.49</v>
      </c>
      <c r="H150" s="76">
        <v>28.34</v>
      </c>
      <c r="I150" s="6">
        <v>19.84</v>
      </c>
      <c r="J150" s="5" t="s">
        <v>26</v>
      </c>
      <c r="K150" s="5">
        <v>1</v>
      </c>
      <c r="L150" s="5">
        <v>24</v>
      </c>
      <c r="M150" s="43"/>
      <c r="N150" s="24">
        <f t="shared" si="4"/>
        <v>0</v>
      </c>
      <c r="O150" s="97"/>
    </row>
    <row r="151" spans="1:15" x14ac:dyDescent="0.25">
      <c r="A151" s="104">
        <v>450191</v>
      </c>
      <c r="B151" s="4" t="s">
        <v>178</v>
      </c>
      <c r="C151" s="4" t="s">
        <v>1682</v>
      </c>
      <c r="D151" s="75" t="str">
        <f>_xlfn.XLOOKUP(B151,'Product Hierarchy'!A:A,'Product Hierarchy'!C:C)</f>
        <v>DEWALT</v>
      </c>
      <c r="E151" s="75" t="str">
        <f>_xlfn.XLOOKUP(B151,'Product Hierarchy'!A:A,'Product Hierarchy'!E:E)</f>
        <v>Drywall Semi Auto Tools</v>
      </c>
      <c r="F151" s="75" t="str">
        <f>_xlfn.XLOOKUP(B151,'Product Hierarchy'!A:A,'Product Hierarchy'!F:F)</f>
        <v>Skimming Blades</v>
      </c>
      <c r="G151" s="76">
        <v>25.99</v>
      </c>
      <c r="H151" s="76">
        <v>23.39</v>
      </c>
      <c r="I151" s="6">
        <v>16.37</v>
      </c>
      <c r="J151" s="5" t="s">
        <v>26</v>
      </c>
      <c r="K151" s="5">
        <v>1</v>
      </c>
      <c r="L151" s="5">
        <v>24</v>
      </c>
      <c r="M151" s="43"/>
      <c r="N151" s="24">
        <f t="shared" si="4"/>
        <v>0</v>
      </c>
      <c r="O151" s="97"/>
    </row>
    <row r="152" spans="1:15" x14ac:dyDescent="0.25">
      <c r="A152" s="104">
        <v>450192</v>
      </c>
      <c r="B152" s="4" t="s">
        <v>179</v>
      </c>
      <c r="C152" s="4" t="s">
        <v>1683</v>
      </c>
      <c r="D152" s="75" t="str">
        <f>_xlfn.XLOOKUP(B152,'Product Hierarchy'!A:A,'Product Hierarchy'!C:C)</f>
        <v>DEWALT</v>
      </c>
      <c r="E152" s="75" t="str">
        <f>_xlfn.XLOOKUP(B152,'Product Hierarchy'!A:A,'Product Hierarchy'!E:E)</f>
        <v>Drywall Semi Auto Tools</v>
      </c>
      <c r="F152" s="75" t="str">
        <f>_xlfn.XLOOKUP(B152,'Product Hierarchy'!A:A,'Product Hierarchy'!F:F)</f>
        <v>Skimming Blades</v>
      </c>
      <c r="G152" s="76">
        <v>33.49</v>
      </c>
      <c r="H152" s="76">
        <v>30.14</v>
      </c>
      <c r="I152" s="6">
        <v>21.1</v>
      </c>
      <c r="J152" s="5" t="s">
        <v>26</v>
      </c>
      <c r="K152" s="5">
        <v>1</v>
      </c>
      <c r="L152" s="5">
        <v>24</v>
      </c>
      <c r="M152" s="43"/>
      <c r="N152" s="24">
        <f t="shared" si="4"/>
        <v>0</v>
      </c>
      <c r="O152" s="97"/>
    </row>
    <row r="153" spans="1:15" x14ac:dyDescent="0.25">
      <c r="A153" s="104">
        <v>450193</v>
      </c>
      <c r="B153" s="4" t="s">
        <v>180</v>
      </c>
      <c r="C153" s="4" t="s">
        <v>1684</v>
      </c>
      <c r="D153" s="75" t="str">
        <f>_xlfn.XLOOKUP(B153,'Product Hierarchy'!A:A,'Product Hierarchy'!C:C)</f>
        <v>DEWALT</v>
      </c>
      <c r="E153" s="75" t="str">
        <f>_xlfn.XLOOKUP(B153,'Product Hierarchy'!A:A,'Product Hierarchy'!E:E)</f>
        <v>Drywall Semi Auto Tools</v>
      </c>
      <c r="F153" s="75" t="str">
        <f>_xlfn.XLOOKUP(B153,'Product Hierarchy'!A:A,'Product Hierarchy'!F:F)</f>
        <v>Skimming Blades</v>
      </c>
      <c r="G153" s="76">
        <v>40.99</v>
      </c>
      <c r="H153" s="76">
        <v>36.89</v>
      </c>
      <c r="I153" s="6">
        <v>25.82</v>
      </c>
      <c r="J153" s="5" t="s">
        <v>26</v>
      </c>
      <c r="K153" s="5">
        <v>1</v>
      </c>
      <c r="L153" s="5">
        <v>24</v>
      </c>
      <c r="M153" s="43"/>
      <c r="N153" s="24">
        <f t="shared" si="4"/>
        <v>0</v>
      </c>
      <c r="O153" s="97"/>
    </row>
    <row r="154" spans="1:15" x14ac:dyDescent="0.25">
      <c r="A154" s="104">
        <v>450194</v>
      </c>
      <c r="B154" s="4" t="s">
        <v>181</v>
      </c>
      <c r="C154" s="4" t="s">
        <v>1685</v>
      </c>
      <c r="D154" s="75" t="str">
        <f>_xlfn.XLOOKUP(B154,'Product Hierarchy'!A:A,'Product Hierarchy'!C:C)</f>
        <v>DEWALT</v>
      </c>
      <c r="E154" s="75" t="str">
        <f>_xlfn.XLOOKUP(B154,'Product Hierarchy'!A:A,'Product Hierarchy'!E:E)</f>
        <v>Drywall Semi Auto Tools</v>
      </c>
      <c r="F154" s="75" t="str">
        <f>_xlfn.XLOOKUP(B154,'Product Hierarchy'!A:A,'Product Hierarchy'!F:F)</f>
        <v>Skimming Blades</v>
      </c>
      <c r="G154" s="76">
        <v>55.99</v>
      </c>
      <c r="H154" s="76">
        <v>50.39</v>
      </c>
      <c r="I154" s="6">
        <v>35.270000000000003</v>
      </c>
      <c r="J154" s="5" t="s">
        <v>26</v>
      </c>
      <c r="K154" s="5">
        <v>1</v>
      </c>
      <c r="L154" s="5">
        <v>24</v>
      </c>
      <c r="M154" s="43"/>
      <c r="N154" s="24">
        <f t="shared" si="4"/>
        <v>0</v>
      </c>
      <c r="O154" s="97"/>
    </row>
    <row r="155" spans="1:15" x14ac:dyDescent="0.25">
      <c r="A155" s="104">
        <v>450195</v>
      </c>
      <c r="B155" s="4" t="s">
        <v>182</v>
      </c>
      <c r="C155" s="4" t="s">
        <v>1686</v>
      </c>
      <c r="D155" s="75" t="str">
        <f>_xlfn.XLOOKUP(B155,'Product Hierarchy'!A:A,'Product Hierarchy'!C:C)</f>
        <v>DEWALT</v>
      </c>
      <c r="E155" s="75" t="str">
        <f>_xlfn.XLOOKUP(B155,'Product Hierarchy'!A:A,'Product Hierarchy'!E:E)</f>
        <v>Drywall Semi Auto Tools</v>
      </c>
      <c r="F155" s="75" t="str">
        <f>_xlfn.XLOOKUP(B155,'Product Hierarchy'!A:A,'Product Hierarchy'!F:F)</f>
        <v>Skimming Blades</v>
      </c>
      <c r="G155" s="76">
        <v>65.989999999999995</v>
      </c>
      <c r="H155" s="76">
        <v>59.39</v>
      </c>
      <c r="I155" s="6">
        <v>41.57</v>
      </c>
      <c r="J155" s="5" t="s">
        <v>26</v>
      </c>
      <c r="K155" s="5">
        <v>1</v>
      </c>
      <c r="L155" s="5">
        <v>24</v>
      </c>
      <c r="M155" s="43"/>
      <c r="N155" s="24">
        <f t="shared" si="4"/>
        <v>0</v>
      </c>
      <c r="O155" s="97"/>
    </row>
    <row r="156" spans="1:15" x14ac:dyDescent="0.25">
      <c r="A156" s="104">
        <v>450196</v>
      </c>
      <c r="B156" s="4" t="s">
        <v>183</v>
      </c>
      <c r="C156" s="4" t="s">
        <v>1687</v>
      </c>
      <c r="D156" s="75" t="str">
        <f>_xlfn.XLOOKUP(B156,'Product Hierarchy'!A:A,'Product Hierarchy'!C:C)</f>
        <v>DEWALT</v>
      </c>
      <c r="E156" s="75" t="str">
        <f>_xlfn.XLOOKUP(B156,'Product Hierarchy'!A:A,'Product Hierarchy'!E:E)</f>
        <v>Drywall Semi Auto Tools</v>
      </c>
      <c r="F156" s="75" t="str">
        <f>_xlfn.XLOOKUP(B156,'Product Hierarchy'!A:A,'Product Hierarchy'!F:F)</f>
        <v>Skimming Blades</v>
      </c>
      <c r="G156" s="76">
        <v>73.489999999999995</v>
      </c>
      <c r="H156" s="76">
        <v>66.14</v>
      </c>
      <c r="I156" s="6">
        <v>46.3</v>
      </c>
      <c r="J156" s="5" t="s">
        <v>26</v>
      </c>
      <c r="K156" s="5">
        <v>1</v>
      </c>
      <c r="L156" s="5">
        <v>24</v>
      </c>
      <c r="M156" s="43"/>
      <c r="N156" s="24">
        <f t="shared" si="4"/>
        <v>0</v>
      </c>
      <c r="O156" s="97"/>
    </row>
    <row r="157" spans="1:15" x14ac:dyDescent="0.25">
      <c r="A157" s="104">
        <v>448936</v>
      </c>
      <c r="B157" s="4" t="s">
        <v>184</v>
      </c>
      <c r="C157" s="4" t="s">
        <v>1666</v>
      </c>
      <c r="D157" s="75" t="str">
        <f>_xlfn.XLOOKUP(B157,'Product Hierarchy'!A:A,'Product Hierarchy'!C:C)</f>
        <v>DEWALT</v>
      </c>
      <c r="E157" s="75" t="str">
        <f>_xlfn.XLOOKUP(B157,'Product Hierarchy'!A:A,'Product Hierarchy'!E:E)</f>
        <v>Drywall Semi Auto Tools</v>
      </c>
      <c r="F157" s="75" t="str">
        <f>_xlfn.XLOOKUP(B157,'Product Hierarchy'!A:A,'Product Hierarchy'!F:F)</f>
        <v>Parts</v>
      </c>
      <c r="G157" s="76">
        <v>14.99</v>
      </c>
      <c r="H157" s="76">
        <v>13.49</v>
      </c>
      <c r="I157" s="6">
        <v>9.44</v>
      </c>
      <c r="J157" s="5" t="s">
        <v>26</v>
      </c>
      <c r="K157" s="5">
        <v>1</v>
      </c>
      <c r="L157" s="5">
        <v>1</v>
      </c>
      <c r="M157" s="43"/>
      <c r="N157" s="24">
        <f t="shared" si="4"/>
        <v>0</v>
      </c>
      <c r="O157" s="97"/>
    </row>
    <row r="158" spans="1:15" x14ac:dyDescent="0.25">
      <c r="A158" s="104">
        <v>450197</v>
      </c>
      <c r="B158" s="4" t="s">
        <v>185</v>
      </c>
      <c r="C158" s="4" t="s">
        <v>1591</v>
      </c>
      <c r="D158" s="75" t="str">
        <f>_xlfn.XLOOKUP(B158,'Product Hierarchy'!A:A,'Product Hierarchy'!C:C)</f>
        <v>DEWALT</v>
      </c>
      <c r="E158" s="75" t="str">
        <f>_xlfn.XLOOKUP(B158,'Product Hierarchy'!A:A,'Product Hierarchy'!E:E)</f>
        <v>Drywall Hand Tools</v>
      </c>
      <c r="F158" s="75" t="str">
        <f>_xlfn.XLOOKUP(B158,'Product Hierarchy'!A:A,'Product Hierarchy'!F:F)</f>
        <v>Trowels</v>
      </c>
      <c r="G158" s="76">
        <v>62.99</v>
      </c>
      <c r="H158" s="76">
        <v>56.69</v>
      </c>
      <c r="I158" s="6">
        <v>39.68</v>
      </c>
      <c r="J158" s="5" t="s">
        <v>26</v>
      </c>
      <c r="K158" s="5">
        <v>1</v>
      </c>
      <c r="L158" s="5">
        <v>12</v>
      </c>
      <c r="M158" s="43"/>
      <c r="N158" s="24">
        <f t="shared" si="4"/>
        <v>0</v>
      </c>
      <c r="O158" s="97"/>
    </row>
    <row r="159" spans="1:15" x14ac:dyDescent="0.25">
      <c r="A159" s="104">
        <v>450198</v>
      </c>
      <c r="B159" s="4" t="s">
        <v>186</v>
      </c>
      <c r="C159" s="4" t="s">
        <v>1593</v>
      </c>
      <c r="D159" s="75" t="str">
        <f>_xlfn.XLOOKUP(B159,'Product Hierarchy'!A:A,'Product Hierarchy'!C:C)</f>
        <v>DEWALT</v>
      </c>
      <c r="E159" s="75" t="str">
        <f>_xlfn.XLOOKUP(B159,'Product Hierarchy'!A:A,'Product Hierarchy'!E:E)</f>
        <v>Drywall Hand Tools</v>
      </c>
      <c r="F159" s="75" t="str">
        <f>_xlfn.XLOOKUP(B159,'Product Hierarchy'!A:A,'Product Hierarchy'!F:F)</f>
        <v>Trowels</v>
      </c>
      <c r="G159" s="76">
        <v>63.99</v>
      </c>
      <c r="H159" s="76">
        <v>57.59</v>
      </c>
      <c r="I159" s="6">
        <v>40.31</v>
      </c>
      <c r="J159" s="5" t="s">
        <v>26</v>
      </c>
      <c r="K159" s="5">
        <v>1</v>
      </c>
      <c r="L159" s="5">
        <v>12</v>
      </c>
      <c r="M159" s="43"/>
      <c r="N159" s="24">
        <f t="shared" si="4"/>
        <v>0</v>
      </c>
      <c r="O159" s="97"/>
    </row>
    <row r="160" spans="1:15" x14ac:dyDescent="0.25">
      <c r="A160" s="104">
        <v>450199</v>
      </c>
      <c r="B160" s="4" t="s">
        <v>187</v>
      </c>
      <c r="C160" s="4" t="s">
        <v>1594</v>
      </c>
      <c r="D160" s="75" t="str">
        <f>_xlfn.XLOOKUP(B160,'Product Hierarchy'!A:A,'Product Hierarchy'!C:C)</f>
        <v>DEWALT</v>
      </c>
      <c r="E160" s="75" t="str">
        <f>_xlfn.XLOOKUP(B160,'Product Hierarchy'!A:A,'Product Hierarchy'!E:E)</f>
        <v>Drywall Hand Tools</v>
      </c>
      <c r="F160" s="75" t="str">
        <f>_xlfn.XLOOKUP(B160,'Product Hierarchy'!A:A,'Product Hierarchy'!F:F)</f>
        <v>Trowels</v>
      </c>
      <c r="G160" s="76">
        <v>67.989999999999995</v>
      </c>
      <c r="H160" s="76">
        <v>61.19</v>
      </c>
      <c r="I160" s="6">
        <v>42.83</v>
      </c>
      <c r="J160" s="5" t="s">
        <v>26</v>
      </c>
      <c r="K160" s="5">
        <v>1</v>
      </c>
      <c r="L160" s="5">
        <v>12</v>
      </c>
      <c r="M160" s="43"/>
      <c r="N160" s="24">
        <f t="shared" si="4"/>
        <v>0</v>
      </c>
      <c r="O160" s="97"/>
    </row>
    <row r="161" spans="1:15" x14ac:dyDescent="0.25">
      <c r="A161" s="104">
        <v>450200</v>
      </c>
      <c r="B161" s="4" t="s">
        <v>188</v>
      </c>
      <c r="C161" s="4" t="s">
        <v>1595</v>
      </c>
      <c r="D161" s="75" t="str">
        <f>_xlfn.XLOOKUP(B161,'Product Hierarchy'!A:A,'Product Hierarchy'!C:C)</f>
        <v>DEWALT</v>
      </c>
      <c r="E161" s="75" t="str">
        <f>_xlfn.XLOOKUP(B161,'Product Hierarchy'!A:A,'Product Hierarchy'!E:E)</f>
        <v>Drywall Hand Tools</v>
      </c>
      <c r="F161" s="75" t="str">
        <f>_xlfn.XLOOKUP(B161,'Product Hierarchy'!A:A,'Product Hierarchy'!F:F)</f>
        <v>Trowels</v>
      </c>
      <c r="G161" s="76">
        <v>72.489999999999995</v>
      </c>
      <c r="H161" s="76">
        <v>65.239999999999995</v>
      </c>
      <c r="I161" s="6">
        <v>45.67</v>
      </c>
      <c r="J161" s="5" t="s">
        <v>26</v>
      </c>
      <c r="K161" s="5">
        <v>1</v>
      </c>
      <c r="L161" s="5">
        <v>12</v>
      </c>
      <c r="M161" s="43"/>
      <c r="N161" s="24">
        <f t="shared" si="4"/>
        <v>0</v>
      </c>
      <c r="O161" s="97"/>
    </row>
    <row r="162" spans="1:15" x14ac:dyDescent="0.25">
      <c r="A162" s="104">
        <v>450201</v>
      </c>
      <c r="B162" s="4" t="s">
        <v>189</v>
      </c>
      <c r="C162" s="4" t="s">
        <v>1596</v>
      </c>
      <c r="D162" s="75" t="str">
        <f>_xlfn.XLOOKUP(B162,'Product Hierarchy'!A:A,'Product Hierarchy'!C:C)</f>
        <v>DEWALT</v>
      </c>
      <c r="E162" s="75" t="str">
        <f>_xlfn.XLOOKUP(B162,'Product Hierarchy'!A:A,'Product Hierarchy'!E:E)</f>
        <v>Drywall Hand Tools</v>
      </c>
      <c r="F162" s="75" t="str">
        <f>_xlfn.XLOOKUP(B162,'Product Hierarchy'!A:A,'Product Hierarchy'!F:F)</f>
        <v>Trowels</v>
      </c>
      <c r="G162" s="76">
        <v>76.989999999999995</v>
      </c>
      <c r="H162" s="76">
        <v>69.290000000000006</v>
      </c>
      <c r="I162" s="6">
        <v>48.5</v>
      </c>
      <c r="J162" s="5" t="s">
        <v>26</v>
      </c>
      <c r="K162" s="5">
        <v>1</v>
      </c>
      <c r="L162" s="5">
        <v>12</v>
      </c>
      <c r="M162" s="43"/>
      <c r="N162" s="24">
        <f t="shared" si="4"/>
        <v>0</v>
      </c>
      <c r="O162" s="97"/>
    </row>
    <row r="163" spans="1:15" x14ac:dyDescent="0.25">
      <c r="A163" s="104">
        <v>450202</v>
      </c>
      <c r="B163" s="4" t="s">
        <v>837</v>
      </c>
      <c r="C163" s="4" t="s">
        <v>4369</v>
      </c>
      <c r="D163" s="75" t="str">
        <f>_xlfn.XLOOKUP(B163,'Product Hierarchy'!A:A,'Product Hierarchy'!C:C)</f>
        <v>DEWALT</v>
      </c>
      <c r="E163" s="75" t="str">
        <f>_xlfn.XLOOKUP(B163,'Product Hierarchy'!A:A,'Product Hierarchy'!E:E)</f>
        <v>Drywall Hand Tools</v>
      </c>
      <c r="F163" s="75" t="str">
        <f>_xlfn.XLOOKUP(B163,'Product Hierarchy'!A:A,'Product Hierarchy'!F:F)</f>
        <v>Trowels</v>
      </c>
      <c r="G163" s="76">
        <v>65.989999999999995</v>
      </c>
      <c r="H163" s="76">
        <v>59.39</v>
      </c>
      <c r="I163" s="6">
        <v>41.57</v>
      </c>
      <c r="J163" s="5" t="s">
        <v>26</v>
      </c>
      <c r="K163" s="5">
        <v>1</v>
      </c>
      <c r="L163" s="5">
        <v>12</v>
      </c>
      <c r="M163" s="43"/>
      <c r="N163" s="24">
        <f t="shared" si="4"/>
        <v>0</v>
      </c>
      <c r="O163" s="97"/>
    </row>
    <row r="164" spans="1:15" x14ac:dyDescent="0.25">
      <c r="A164" s="104">
        <v>450203</v>
      </c>
      <c r="B164" s="75" t="s">
        <v>838</v>
      </c>
      <c r="C164" s="75" t="s">
        <v>4368</v>
      </c>
      <c r="D164" s="75" t="str">
        <f>_xlfn.XLOOKUP(B164,'Product Hierarchy'!A:A,'Product Hierarchy'!C:C)</f>
        <v>DEWALT</v>
      </c>
      <c r="E164" s="75" t="str">
        <f>_xlfn.XLOOKUP(B164,'Product Hierarchy'!A:A,'Product Hierarchy'!E:E)</f>
        <v>Drywall Hand Tools</v>
      </c>
      <c r="F164" s="75" t="str">
        <f>_xlfn.XLOOKUP(B164,'Product Hierarchy'!A:A,'Product Hierarchy'!F:F)</f>
        <v>Trowels</v>
      </c>
      <c r="G164" s="76">
        <v>71.489999999999995</v>
      </c>
      <c r="H164" s="76">
        <v>64.34</v>
      </c>
      <c r="I164" s="6">
        <v>45.04</v>
      </c>
      <c r="J164" s="5" t="s">
        <v>26</v>
      </c>
      <c r="K164" s="5">
        <v>1</v>
      </c>
      <c r="L164" s="5">
        <v>12</v>
      </c>
      <c r="M164" s="43"/>
      <c r="N164" s="24">
        <f t="shared" si="4"/>
        <v>0</v>
      </c>
      <c r="O164" s="97"/>
    </row>
    <row r="165" spans="1:15" x14ac:dyDescent="0.25">
      <c r="A165" s="104">
        <v>450204</v>
      </c>
      <c r="B165" s="4" t="s">
        <v>839</v>
      </c>
      <c r="C165" s="4" t="s">
        <v>4367</v>
      </c>
      <c r="D165" s="75" t="str">
        <f>_xlfn.XLOOKUP(B165,'Product Hierarchy'!A:A,'Product Hierarchy'!C:C)</f>
        <v>DEWALT</v>
      </c>
      <c r="E165" s="75" t="str">
        <f>_xlfn.XLOOKUP(B165,'Product Hierarchy'!A:A,'Product Hierarchy'!E:E)</f>
        <v>Drywall Hand Tools</v>
      </c>
      <c r="F165" s="75" t="str">
        <f>_xlfn.XLOOKUP(B165,'Product Hierarchy'!A:A,'Product Hierarchy'!F:F)</f>
        <v>Trowels</v>
      </c>
      <c r="G165" s="76">
        <v>79.989999999999995</v>
      </c>
      <c r="H165" s="76">
        <v>71.989999999999995</v>
      </c>
      <c r="I165" s="6">
        <v>50.39</v>
      </c>
      <c r="J165" s="5" t="s">
        <v>26</v>
      </c>
      <c r="K165" s="5">
        <v>1</v>
      </c>
      <c r="L165" s="5">
        <v>12</v>
      </c>
      <c r="M165" s="43"/>
      <c r="N165" s="24">
        <f t="shared" si="4"/>
        <v>0</v>
      </c>
      <c r="O165" s="97"/>
    </row>
    <row r="166" spans="1:15" x14ac:dyDescent="0.25">
      <c r="A166" s="104">
        <v>450205</v>
      </c>
      <c r="B166" s="4" t="s">
        <v>190</v>
      </c>
      <c r="C166" s="4" t="s">
        <v>4366</v>
      </c>
      <c r="D166" s="75" t="str">
        <f>_xlfn.XLOOKUP(B166,'Product Hierarchy'!A:A,'Product Hierarchy'!C:C)</f>
        <v>DEWALT</v>
      </c>
      <c r="E166" s="75" t="str">
        <f>_xlfn.XLOOKUP(B166,'Product Hierarchy'!A:A,'Product Hierarchy'!E:E)</f>
        <v>Drywall Hand Tools</v>
      </c>
      <c r="F166" s="75" t="str">
        <f>_xlfn.XLOOKUP(B166,'Product Hierarchy'!A:A,'Product Hierarchy'!F:F)</f>
        <v>Trowels</v>
      </c>
      <c r="G166" s="76">
        <v>64.989999999999995</v>
      </c>
      <c r="H166" s="76">
        <v>58.49</v>
      </c>
      <c r="I166" s="6">
        <v>40.94</v>
      </c>
      <c r="J166" s="5" t="s">
        <v>26</v>
      </c>
      <c r="K166" s="5">
        <v>1</v>
      </c>
      <c r="L166" s="5">
        <v>12</v>
      </c>
      <c r="M166" s="43"/>
      <c r="N166" s="24">
        <f t="shared" si="4"/>
        <v>0</v>
      </c>
      <c r="O166" s="97"/>
    </row>
    <row r="167" spans="1:15" x14ac:dyDescent="0.25">
      <c r="A167" s="104">
        <v>450206</v>
      </c>
      <c r="B167" s="4" t="s">
        <v>191</v>
      </c>
      <c r="C167" s="4" t="s">
        <v>1601</v>
      </c>
      <c r="D167" s="75" t="str">
        <f>_xlfn.XLOOKUP(B167,'Product Hierarchy'!A:A,'Product Hierarchy'!C:C)</f>
        <v>DEWALT</v>
      </c>
      <c r="E167" s="75" t="str">
        <f>_xlfn.XLOOKUP(B167,'Product Hierarchy'!A:A,'Product Hierarchy'!E:E)</f>
        <v>Drywall Hand Tools</v>
      </c>
      <c r="F167" s="75" t="str">
        <f>_xlfn.XLOOKUP(B167,'Product Hierarchy'!A:A,'Product Hierarchy'!F:F)</f>
        <v>Trowels</v>
      </c>
      <c r="G167" s="76">
        <v>69.489999999999995</v>
      </c>
      <c r="H167" s="76">
        <v>62.54</v>
      </c>
      <c r="I167" s="6">
        <v>43.78</v>
      </c>
      <c r="J167" s="5" t="s">
        <v>26</v>
      </c>
      <c r="K167" s="5">
        <v>1</v>
      </c>
      <c r="L167" s="5">
        <v>12</v>
      </c>
      <c r="M167" s="43"/>
      <c r="N167" s="24">
        <f t="shared" si="4"/>
        <v>0</v>
      </c>
      <c r="O167" s="97"/>
    </row>
    <row r="168" spans="1:15" x14ac:dyDescent="0.25">
      <c r="A168" s="104">
        <v>450207</v>
      </c>
      <c r="B168" s="4" t="s">
        <v>192</v>
      </c>
      <c r="C168" s="4" t="s">
        <v>1602</v>
      </c>
      <c r="D168" s="75" t="str">
        <f>_xlfn.XLOOKUP(B168,'Product Hierarchy'!A:A,'Product Hierarchy'!C:C)</f>
        <v>DEWALT</v>
      </c>
      <c r="E168" s="75" t="str">
        <f>_xlfn.XLOOKUP(B168,'Product Hierarchy'!A:A,'Product Hierarchy'!E:E)</f>
        <v>Drywall Hand Tools</v>
      </c>
      <c r="F168" s="75" t="str">
        <f>_xlfn.XLOOKUP(B168,'Product Hierarchy'!A:A,'Product Hierarchy'!F:F)</f>
        <v>Trowels</v>
      </c>
      <c r="G168" s="76">
        <v>73.489999999999995</v>
      </c>
      <c r="H168" s="76">
        <v>66.14</v>
      </c>
      <c r="I168" s="6">
        <v>46.3</v>
      </c>
      <c r="J168" s="5" t="s">
        <v>26</v>
      </c>
      <c r="K168" s="5">
        <v>1</v>
      </c>
      <c r="L168" s="5">
        <v>12</v>
      </c>
      <c r="M168" s="43"/>
      <c r="N168" s="24">
        <f t="shared" si="4"/>
        <v>0</v>
      </c>
      <c r="O168" s="97"/>
    </row>
    <row r="169" spans="1:15" x14ac:dyDescent="0.25">
      <c r="A169" s="104">
        <v>450208</v>
      </c>
      <c r="B169" s="4" t="s">
        <v>840</v>
      </c>
      <c r="C169" s="4" t="s">
        <v>4365</v>
      </c>
      <c r="D169" s="75" t="str">
        <f>_xlfn.XLOOKUP(B169,'Product Hierarchy'!A:A,'Product Hierarchy'!C:C)</f>
        <v>DEWALT</v>
      </c>
      <c r="E169" s="75" t="str">
        <f>_xlfn.XLOOKUP(B169,'Product Hierarchy'!A:A,'Product Hierarchy'!E:E)</f>
        <v>Drywall Hand Tools</v>
      </c>
      <c r="F169" s="75" t="str">
        <f>_xlfn.XLOOKUP(B169,'Product Hierarchy'!A:A,'Product Hierarchy'!F:F)</f>
        <v>Trowels</v>
      </c>
      <c r="G169" s="76">
        <v>69.489999999999995</v>
      </c>
      <c r="H169" s="76">
        <v>62.54</v>
      </c>
      <c r="I169" s="6">
        <v>43.78</v>
      </c>
      <c r="J169" s="5" t="s">
        <v>26</v>
      </c>
      <c r="K169" s="5">
        <v>1</v>
      </c>
      <c r="L169" s="5">
        <v>12</v>
      </c>
      <c r="M169" s="43"/>
      <c r="N169" s="24">
        <f t="shared" si="4"/>
        <v>0</v>
      </c>
      <c r="O169" s="97"/>
    </row>
    <row r="170" spans="1:15" x14ac:dyDescent="0.25">
      <c r="A170" s="104">
        <v>450209</v>
      </c>
      <c r="B170" s="4" t="s">
        <v>841</v>
      </c>
      <c r="C170" s="4" t="s">
        <v>4364</v>
      </c>
      <c r="D170" s="75" t="str">
        <f>_xlfn.XLOOKUP(B170,'Product Hierarchy'!A:A,'Product Hierarchy'!C:C)</f>
        <v>DEWALT</v>
      </c>
      <c r="E170" s="75" t="str">
        <f>_xlfn.XLOOKUP(B170,'Product Hierarchy'!A:A,'Product Hierarchy'!E:E)</f>
        <v>Drywall Hand Tools</v>
      </c>
      <c r="F170" s="75" t="str">
        <f>_xlfn.XLOOKUP(B170,'Product Hierarchy'!A:A,'Product Hierarchy'!F:F)</f>
        <v>Trowels</v>
      </c>
      <c r="G170" s="76">
        <v>74.489999999999995</v>
      </c>
      <c r="H170" s="76">
        <v>67.040000000000006</v>
      </c>
      <c r="I170" s="6">
        <v>46.93</v>
      </c>
      <c r="J170" s="5" t="s">
        <v>26</v>
      </c>
      <c r="K170" s="5">
        <v>1</v>
      </c>
      <c r="L170" s="5">
        <v>12</v>
      </c>
      <c r="M170" s="43"/>
      <c r="N170" s="24">
        <f t="shared" si="4"/>
        <v>0</v>
      </c>
      <c r="O170" s="97"/>
    </row>
    <row r="171" spans="1:15" x14ac:dyDescent="0.25">
      <c r="A171" s="104">
        <v>450210</v>
      </c>
      <c r="B171" s="4" t="s">
        <v>842</v>
      </c>
      <c r="C171" s="4" t="s">
        <v>4363</v>
      </c>
      <c r="D171" s="75" t="str">
        <f>_xlfn.XLOOKUP(B171,'Product Hierarchy'!A:A,'Product Hierarchy'!C:C)</f>
        <v>DEWALT</v>
      </c>
      <c r="E171" s="75" t="str">
        <f>_xlfn.XLOOKUP(B171,'Product Hierarchy'!A:A,'Product Hierarchy'!E:E)</f>
        <v>Drywall Hand Tools</v>
      </c>
      <c r="F171" s="75" t="str">
        <f>_xlfn.XLOOKUP(B171,'Product Hierarchy'!A:A,'Product Hierarchy'!F:F)</f>
        <v>Trowels</v>
      </c>
      <c r="G171" s="76">
        <v>86.49</v>
      </c>
      <c r="H171" s="76">
        <v>77.84</v>
      </c>
      <c r="I171" s="6">
        <v>54.49</v>
      </c>
      <c r="J171" s="5" t="s">
        <v>26</v>
      </c>
      <c r="K171" s="5">
        <v>1</v>
      </c>
      <c r="L171" s="5">
        <v>12</v>
      </c>
      <c r="M171" s="43"/>
      <c r="N171" s="24">
        <f t="shared" si="4"/>
        <v>0</v>
      </c>
      <c r="O171" s="97"/>
    </row>
    <row r="172" spans="1:15" x14ac:dyDescent="0.25">
      <c r="A172" s="104">
        <v>450211</v>
      </c>
      <c r="B172" s="4" t="s">
        <v>193</v>
      </c>
      <c r="C172" s="4" t="s">
        <v>1608</v>
      </c>
      <c r="D172" s="75" t="str">
        <f>_xlfn.XLOOKUP(B172,'Product Hierarchy'!A:A,'Product Hierarchy'!C:C)</f>
        <v>DEWALT</v>
      </c>
      <c r="E172" s="75" t="str">
        <f>_xlfn.XLOOKUP(B172,'Product Hierarchy'!A:A,'Product Hierarchy'!E:E)</f>
        <v>Drywall Hand Tools</v>
      </c>
      <c r="F172" s="75" t="str">
        <f>_xlfn.XLOOKUP(B172,'Product Hierarchy'!A:A,'Product Hierarchy'!F:F)</f>
        <v>Trowels</v>
      </c>
      <c r="G172" s="76">
        <v>64.989999999999995</v>
      </c>
      <c r="H172" s="76">
        <v>58.49</v>
      </c>
      <c r="I172" s="6">
        <v>40.94</v>
      </c>
      <c r="J172" s="5" t="s">
        <v>26</v>
      </c>
      <c r="K172" s="5">
        <v>1</v>
      </c>
      <c r="L172" s="5">
        <v>12</v>
      </c>
      <c r="M172" s="43"/>
      <c r="N172" s="24">
        <f t="shared" si="4"/>
        <v>0</v>
      </c>
      <c r="O172" s="97"/>
    </row>
    <row r="173" spans="1:15" x14ac:dyDescent="0.25">
      <c r="A173" s="104">
        <v>450212</v>
      </c>
      <c r="B173" s="4" t="s">
        <v>194</v>
      </c>
      <c r="C173" s="4" t="s">
        <v>1611</v>
      </c>
      <c r="D173" s="75" t="str">
        <f>_xlfn.XLOOKUP(B173,'Product Hierarchy'!A:A,'Product Hierarchy'!C:C)</f>
        <v>DEWALT</v>
      </c>
      <c r="E173" s="75" t="str">
        <f>_xlfn.XLOOKUP(B173,'Product Hierarchy'!A:A,'Product Hierarchy'!E:E)</f>
        <v>Drywall Hand Tools</v>
      </c>
      <c r="F173" s="75" t="str">
        <f>_xlfn.XLOOKUP(B173,'Product Hierarchy'!A:A,'Product Hierarchy'!F:F)</f>
        <v>Trowels</v>
      </c>
      <c r="G173" s="76">
        <v>60.49</v>
      </c>
      <c r="H173" s="76">
        <v>54.44</v>
      </c>
      <c r="I173" s="6">
        <v>38.11</v>
      </c>
      <c r="J173" s="5" t="s">
        <v>26</v>
      </c>
      <c r="K173" s="5">
        <v>1</v>
      </c>
      <c r="L173" s="5">
        <v>12</v>
      </c>
      <c r="M173" s="43"/>
      <c r="N173" s="24">
        <f t="shared" si="4"/>
        <v>0</v>
      </c>
      <c r="O173" s="97"/>
    </row>
    <row r="174" spans="1:15" x14ac:dyDescent="0.25">
      <c r="A174" s="104">
        <v>450213</v>
      </c>
      <c r="B174" s="4" t="s">
        <v>195</v>
      </c>
      <c r="C174" s="4" t="s">
        <v>1612</v>
      </c>
      <c r="D174" s="75" t="str">
        <f>_xlfn.XLOOKUP(B174,'Product Hierarchy'!A:A,'Product Hierarchy'!C:C)</f>
        <v>DEWALT</v>
      </c>
      <c r="E174" s="75" t="str">
        <f>_xlfn.XLOOKUP(B174,'Product Hierarchy'!A:A,'Product Hierarchy'!E:E)</f>
        <v>Drywall Hand Tools</v>
      </c>
      <c r="F174" s="75" t="str">
        <f>_xlfn.XLOOKUP(B174,'Product Hierarchy'!A:A,'Product Hierarchy'!F:F)</f>
        <v>Trowels</v>
      </c>
      <c r="G174" s="76">
        <v>64.989999999999995</v>
      </c>
      <c r="H174" s="76">
        <v>58.49</v>
      </c>
      <c r="I174" s="6">
        <v>40.94</v>
      </c>
      <c r="J174" s="5" t="s">
        <v>26</v>
      </c>
      <c r="K174" s="5">
        <v>1</v>
      </c>
      <c r="L174" s="5">
        <v>12</v>
      </c>
      <c r="M174" s="43"/>
      <c r="N174" s="24">
        <f t="shared" si="4"/>
        <v>0</v>
      </c>
      <c r="O174" s="97"/>
    </row>
    <row r="175" spans="1:15" x14ac:dyDescent="0.25">
      <c r="A175" s="104">
        <v>450215</v>
      </c>
      <c r="B175" s="4" t="s">
        <v>844</v>
      </c>
      <c r="C175" s="4" t="s">
        <v>4362</v>
      </c>
      <c r="D175" s="75" t="str">
        <f>_xlfn.XLOOKUP(B175,'Product Hierarchy'!A:A,'Product Hierarchy'!C:C)</f>
        <v>DEWALT</v>
      </c>
      <c r="E175" s="75" t="str">
        <f>_xlfn.XLOOKUP(B175,'Product Hierarchy'!A:A,'Product Hierarchy'!E:E)</f>
        <v>Drywall Hand Tools</v>
      </c>
      <c r="F175" s="75" t="str">
        <f>_xlfn.XLOOKUP(B175,'Product Hierarchy'!A:A,'Product Hierarchy'!F:F)</f>
        <v>Trowels</v>
      </c>
      <c r="G175" s="76">
        <v>64.989999999999995</v>
      </c>
      <c r="H175" s="76">
        <v>58.49</v>
      </c>
      <c r="I175" s="6">
        <v>40.94</v>
      </c>
      <c r="J175" s="5" t="s">
        <v>26</v>
      </c>
      <c r="K175" s="5">
        <v>1</v>
      </c>
      <c r="L175" s="5">
        <v>12</v>
      </c>
      <c r="M175" s="43"/>
      <c r="N175" s="24">
        <f t="shared" si="4"/>
        <v>0</v>
      </c>
      <c r="O175" s="97"/>
    </row>
    <row r="176" spans="1:15" x14ac:dyDescent="0.25">
      <c r="A176" s="104">
        <v>450216</v>
      </c>
      <c r="B176" s="4" t="s">
        <v>845</v>
      </c>
      <c r="C176" s="4" t="s">
        <v>4361</v>
      </c>
      <c r="D176" s="75" t="str">
        <f>_xlfn.XLOOKUP(B176,'Product Hierarchy'!A:A,'Product Hierarchy'!C:C)</f>
        <v>DEWALT</v>
      </c>
      <c r="E176" s="75" t="str">
        <f>_xlfn.XLOOKUP(B176,'Product Hierarchy'!A:A,'Product Hierarchy'!E:E)</f>
        <v>Drywall Hand Tools</v>
      </c>
      <c r="F176" s="75" t="str">
        <f>_xlfn.XLOOKUP(B176,'Product Hierarchy'!A:A,'Product Hierarchy'!F:F)</f>
        <v>Trowels</v>
      </c>
      <c r="G176" s="76">
        <v>71.489999999999995</v>
      </c>
      <c r="H176" s="76">
        <v>64.34</v>
      </c>
      <c r="I176" s="6">
        <v>45.04</v>
      </c>
      <c r="J176" s="5" t="s">
        <v>26</v>
      </c>
      <c r="K176" s="5">
        <v>1</v>
      </c>
      <c r="L176" s="5">
        <v>12</v>
      </c>
      <c r="M176" s="43"/>
      <c r="N176" s="24">
        <f t="shared" si="4"/>
        <v>0</v>
      </c>
      <c r="O176" s="97"/>
    </row>
    <row r="177" spans="1:15" x14ac:dyDescent="0.25">
      <c r="A177" s="104">
        <v>450217</v>
      </c>
      <c r="B177" s="4" t="s">
        <v>616</v>
      </c>
      <c r="C177" s="4" t="s">
        <v>1401</v>
      </c>
      <c r="D177" s="75" t="str">
        <f>_xlfn.XLOOKUP(B177,'Product Hierarchy'!A:A,'Product Hierarchy'!C:C)</f>
        <v>DEWALT</v>
      </c>
      <c r="E177" s="75" t="str">
        <f>_xlfn.XLOOKUP(B177,'Product Hierarchy'!A:A,'Product Hierarchy'!E:E)</f>
        <v>Drywall Hand Tools</v>
      </c>
      <c r="F177" s="75" t="str">
        <f>_xlfn.XLOOKUP(B177,'Product Hierarchy'!A:A,'Product Hierarchy'!F:F)</f>
        <v>Hand Tool Sets</v>
      </c>
      <c r="G177" s="76">
        <v>95.449999999999989</v>
      </c>
      <c r="H177" s="76">
        <v>81.13</v>
      </c>
      <c r="I177" s="6">
        <v>56.79</v>
      </c>
      <c r="J177" s="5" t="s">
        <v>26</v>
      </c>
      <c r="K177" s="5">
        <v>1</v>
      </c>
      <c r="L177" s="5">
        <v>6</v>
      </c>
      <c r="M177" s="45"/>
      <c r="N177" s="7">
        <f t="shared" ref="N177:N208" si="5">M177*I177</f>
        <v>0</v>
      </c>
      <c r="O177" s="97"/>
    </row>
    <row r="178" spans="1:15" x14ac:dyDescent="0.25">
      <c r="A178" s="104">
        <v>450218</v>
      </c>
      <c r="B178" s="4" t="s">
        <v>617</v>
      </c>
      <c r="C178" s="4" t="s">
        <v>1403</v>
      </c>
      <c r="D178" s="75" t="str">
        <f>_xlfn.XLOOKUP(B178,'Product Hierarchy'!A:A,'Product Hierarchy'!C:C)</f>
        <v>DEWALT</v>
      </c>
      <c r="E178" s="75" t="str">
        <f>_xlfn.XLOOKUP(B178,'Product Hierarchy'!A:A,'Product Hierarchy'!E:E)</f>
        <v>Drywall Hand Tools</v>
      </c>
      <c r="F178" s="75" t="str">
        <f>_xlfn.XLOOKUP(B178,'Product Hierarchy'!A:A,'Product Hierarchy'!F:F)</f>
        <v>Hand Tool Sets</v>
      </c>
      <c r="G178" s="76">
        <v>52.47</v>
      </c>
      <c r="H178" s="76">
        <v>44.6</v>
      </c>
      <c r="I178" s="6">
        <v>31.22</v>
      </c>
      <c r="J178" s="5" t="s">
        <v>26</v>
      </c>
      <c r="K178" s="5">
        <v>1</v>
      </c>
      <c r="L178" s="5">
        <v>12</v>
      </c>
      <c r="M178" s="45"/>
      <c r="N178" s="7">
        <f t="shared" si="5"/>
        <v>0</v>
      </c>
      <c r="O178" s="97"/>
    </row>
    <row r="179" spans="1:15" x14ac:dyDescent="0.25">
      <c r="A179" s="104">
        <v>450219</v>
      </c>
      <c r="B179" s="4" t="s">
        <v>618</v>
      </c>
      <c r="C179" s="4" t="s">
        <v>2943</v>
      </c>
      <c r="D179" s="75" t="str">
        <f>_xlfn.XLOOKUP(B179,'Product Hierarchy'!A:A,'Product Hierarchy'!C:C)</f>
        <v>DEWALT</v>
      </c>
      <c r="E179" s="75" t="str">
        <f>_xlfn.XLOOKUP(B179,'Product Hierarchy'!A:A,'Product Hierarchy'!E:E)</f>
        <v>Drywall Hand Tools</v>
      </c>
      <c r="F179" s="75" t="str">
        <f>_xlfn.XLOOKUP(B179,'Product Hierarchy'!A:A,'Product Hierarchy'!F:F)</f>
        <v>Hand Tool Sets</v>
      </c>
      <c r="G179" s="76">
        <v>91.949999999999989</v>
      </c>
      <c r="H179" s="76">
        <v>78.16</v>
      </c>
      <c r="I179" s="6">
        <v>54.71</v>
      </c>
      <c r="J179" s="5" t="s">
        <v>26</v>
      </c>
      <c r="K179" s="5">
        <v>1</v>
      </c>
      <c r="L179" s="5">
        <v>6</v>
      </c>
      <c r="M179" s="45"/>
      <c r="N179" s="7">
        <f t="shared" si="5"/>
        <v>0</v>
      </c>
      <c r="O179" s="97"/>
    </row>
    <row r="180" spans="1:15" x14ac:dyDescent="0.25">
      <c r="A180" s="104">
        <v>450226</v>
      </c>
      <c r="B180" s="4" t="s">
        <v>619</v>
      </c>
      <c r="C180" s="4" t="s">
        <v>4374</v>
      </c>
      <c r="D180" s="75" t="str">
        <f>_xlfn.XLOOKUP(B180,'Product Hierarchy'!A:A,'Product Hierarchy'!C:C)</f>
        <v>DEWALT</v>
      </c>
      <c r="E180" s="75" t="str">
        <f>_xlfn.XLOOKUP(B180,'Product Hierarchy'!A:A,'Product Hierarchy'!E:E)</f>
        <v>Drywall Hand Tools</v>
      </c>
      <c r="F180" s="75" t="str">
        <f>_xlfn.XLOOKUP(B180,'Product Hierarchy'!A:A,'Product Hierarchy'!F:F)</f>
        <v>Hand Tool Sets</v>
      </c>
      <c r="G180" s="76">
        <v>89.96</v>
      </c>
      <c r="H180" s="76">
        <v>76.47</v>
      </c>
      <c r="I180" s="6">
        <v>53.53</v>
      </c>
      <c r="J180" s="5" t="s">
        <v>26</v>
      </c>
      <c r="K180" s="5">
        <v>1</v>
      </c>
      <c r="L180" s="5">
        <v>6</v>
      </c>
      <c r="M180" s="45"/>
      <c r="N180" s="7">
        <f t="shared" si="5"/>
        <v>0</v>
      </c>
      <c r="O180" s="97"/>
    </row>
    <row r="181" spans="1:15" x14ac:dyDescent="0.25">
      <c r="A181" s="104">
        <v>450227</v>
      </c>
      <c r="B181" s="8" t="s">
        <v>620</v>
      </c>
      <c r="C181" s="4" t="s">
        <v>2964</v>
      </c>
      <c r="D181" s="75" t="str">
        <f>_xlfn.XLOOKUP(B181,'Product Hierarchy'!A:A,'Product Hierarchy'!C:C)</f>
        <v>DEWALT</v>
      </c>
      <c r="E181" s="75" t="str">
        <f>_xlfn.XLOOKUP(B181,'Product Hierarchy'!A:A,'Product Hierarchy'!E:E)</f>
        <v>Drywall Hand Tools</v>
      </c>
      <c r="F181" s="75" t="str">
        <f>_xlfn.XLOOKUP(B181,'Product Hierarchy'!A:A,'Product Hierarchy'!F:F)</f>
        <v>Hand Tool Sets</v>
      </c>
      <c r="G181" s="76">
        <v>99.96</v>
      </c>
      <c r="H181" s="76">
        <v>84.97</v>
      </c>
      <c r="I181" s="6">
        <v>59.48</v>
      </c>
      <c r="J181" s="9" t="s">
        <v>26</v>
      </c>
      <c r="K181" s="9">
        <v>1</v>
      </c>
      <c r="L181" s="9">
        <v>6</v>
      </c>
      <c r="M181" s="60"/>
      <c r="N181" s="100">
        <f t="shared" si="5"/>
        <v>0</v>
      </c>
      <c r="O181" s="97"/>
    </row>
    <row r="182" spans="1:15" x14ac:dyDescent="0.25">
      <c r="A182" s="104">
        <v>450228</v>
      </c>
      <c r="B182" s="4" t="s">
        <v>328</v>
      </c>
      <c r="C182" s="4" t="s">
        <v>2966</v>
      </c>
      <c r="D182" s="75" t="str">
        <f>_xlfn.XLOOKUP(B182,'Product Hierarchy'!A:A,'Product Hierarchy'!C:C)</f>
        <v>DEWALT</v>
      </c>
      <c r="E182" s="75" t="str">
        <f>_xlfn.XLOOKUP(B182,'Product Hierarchy'!A:A,'Product Hierarchy'!E:E)</f>
        <v>Drywall Hand Tools</v>
      </c>
      <c r="F182" s="75" t="str">
        <f>_xlfn.XLOOKUP(B182,'Product Hierarchy'!A:A,'Product Hierarchy'!F:F)</f>
        <v>Hand Tool Sets</v>
      </c>
      <c r="G182" s="76">
        <v>95.46</v>
      </c>
      <c r="H182" s="76">
        <v>81.14</v>
      </c>
      <c r="I182" s="6">
        <v>56.8</v>
      </c>
      <c r="J182" s="9" t="s">
        <v>26</v>
      </c>
      <c r="K182" s="5">
        <v>1</v>
      </c>
      <c r="L182" s="5">
        <v>6</v>
      </c>
      <c r="M182" s="45"/>
      <c r="N182" s="100">
        <f t="shared" si="5"/>
        <v>0</v>
      </c>
      <c r="O182" s="97"/>
    </row>
    <row r="183" spans="1:15" x14ac:dyDescent="0.25">
      <c r="A183" s="104">
        <v>450229</v>
      </c>
      <c r="B183" s="4" t="s">
        <v>621</v>
      </c>
      <c r="C183" s="4" t="s">
        <v>1405</v>
      </c>
      <c r="D183" s="75" t="str">
        <f>_xlfn.XLOOKUP(B183,'Product Hierarchy'!A:A,'Product Hierarchy'!C:C)</f>
        <v>DEWALT</v>
      </c>
      <c r="E183" s="75" t="str">
        <f>_xlfn.XLOOKUP(B183,'Product Hierarchy'!A:A,'Product Hierarchy'!E:E)</f>
        <v>Drywall Hand Tools</v>
      </c>
      <c r="F183" s="75" t="str">
        <f>_xlfn.XLOOKUP(B183,'Product Hierarchy'!A:A,'Product Hierarchy'!F:F)</f>
        <v>Hand Tool Sets</v>
      </c>
      <c r="G183" s="76">
        <v>93.96</v>
      </c>
      <c r="H183" s="76">
        <v>79.87</v>
      </c>
      <c r="I183" s="6">
        <v>55.91</v>
      </c>
      <c r="J183" s="9" t="s">
        <v>26</v>
      </c>
      <c r="K183" s="5">
        <v>1</v>
      </c>
      <c r="L183" s="5">
        <v>6</v>
      </c>
      <c r="M183" s="45"/>
      <c r="N183" s="100">
        <f t="shared" si="5"/>
        <v>0</v>
      </c>
      <c r="O183" s="97"/>
    </row>
    <row r="184" spans="1:15" x14ac:dyDescent="0.25">
      <c r="A184" s="104">
        <v>450230</v>
      </c>
      <c r="B184" s="8" t="s">
        <v>622</v>
      </c>
      <c r="C184" s="4" t="s">
        <v>1406</v>
      </c>
      <c r="D184" s="75" t="str">
        <f>_xlfn.XLOOKUP(B184,'Product Hierarchy'!A:A,'Product Hierarchy'!C:C)</f>
        <v>DEWALT</v>
      </c>
      <c r="E184" s="75" t="str">
        <f>_xlfn.XLOOKUP(B184,'Product Hierarchy'!A:A,'Product Hierarchy'!E:E)</f>
        <v>Drywall Hand Tools</v>
      </c>
      <c r="F184" s="75" t="str">
        <f>_xlfn.XLOOKUP(B184,'Product Hierarchy'!A:A,'Product Hierarchy'!F:F)</f>
        <v>Hand Tool Sets</v>
      </c>
      <c r="G184" s="76">
        <v>52.99</v>
      </c>
      <c r="H184" s="76">
        <v>45.04</v>
      </c>
      <c r="I184" s="6">
        <v>31.53</v>
      </c>
      <c r="J184" s="9" t="s">
        <v>26</v>
      </c>
      <c r="K184" s="9">
        <v>4</v>
      </c>
      <c r="L184" s="9">
        <v>40</v>
      </c>
      <c r="M184" s="60"/>
      <c r="N184" s="100">
        <f t="shared" si="5"/>
        <v>0</v>
      </c>
      <c r="O184" s="97"/>
    </row>
    <row r="185" spans="1:15" x14ac:dyDescent="0.25">
      <c r="A185" s="104">
        <v>450231</v>
      </c>
      <c r="B185" s="4" t="s">
        <v>623</v>
      </c>
      <c r="C185" s="4" t="s">
        <v>1407</v>
      </c>
      <c r="D185" s="75" t="str">
        <f>_xlfn.XLOOKUP(B185,'Product Hierarchy'!A:A,'Product Hierarchy'!C:C)</f>
        <v>DEWALT</v>
      </c>
      <c r="E185" s="75" t="str">
        <f>_xlfn.XLOOKUP(B185,'Product Hierarchy'!A:A,'Product Hierarchy'!E:E)</f>
        <v>Drywall Hand Tools</v>
      </c>
      <c r="F185" s="75" t="str">
        <f>_xlfn.XLOOKUP(B185,'Product Hierarchy'!A:A,'Product Hierarchy'!F:F)</f>
        <v>Hand Tool Sets</v>
      </c>
      <c r="G185" s="76">
        <v>77.959999999999994</v>
      </c>
      <c r="H185" s="76">
        <v>66.27</v>
      </c>
      <c r="I185" s="6">
        <v>46.39</v>
      </c>
      <c r="J185" s="5" t="s">
        <v>26</v>
      </c>
      <c r="K185" s="5">
        <v>4</v>
      </c>
      <c r="L185" s="5">
        <v>40</v>
      </c>
      <c r="M185" s="45"/>
      <c r="N185" s="7">
        <f t="shared" si="5"/>
        <v>0</v>
      </c>
      <c r="O185" s="97"/>
    </row>
    <row r="186" spans="1:15" x14ac:dyDescent="0.25">
      <c r="A186" s="104">
        <v>450247</v>
      </c>
      <c r="B186" s="4" t="s">
        <v>326</v>
      </c>
      <c r="C186" s="4" t="s">
        <v>3859</v>
      </c>
      <c r="D186" s="75" t="str">
        <f>_xlfn.XLOOKUP(B186,'Product Hierarchy'!A:A,'Product Hierarchy'!C:C)</f>
        <v>DEWALT</v>
      </c>
      <c r="E186" s="75" t="str">
        <f>_xlfn.XLOOKUP(B186,'Product Hierarchy'!A:A,'Product Hierarchy'!E:E)</f>
        <v>Drywall Semi Auto Tools</v>
      </c>
      <c r="F186" s="75" t="str">
        <f>_xlfn.XLOOKUP(B186,'Product Hierarchy'!A:A,'Product Hierarchy'!F:F)</f>
        <v>Skimming Blade Sets</v>
      </c>
      <c r="G186" s="76">
        <v>390.95</v>
      </c>
      <c r="H186" s="76">
        <v>332.31</v>
      </c>
      <c r="I186" s="6">
        <v>232.62</v>
      </c>
      <c r="J186" s="5" t="s">
        <v>26</v>
      </c>
      <c r="K186" s="5">
        <v>1</v>
      </c>
      <c r="L186" s="5">
        <v>1</v>
      </c>
      <c r="M186" s="45"/>
      <c r="N186" s="7">
        <f t="shared" si="5"/>
        <v>0</v>
      </c>
      <c r="O186" s="97"/>
    </row>
    <row r="187" spans="1:15" x14ac:dyDescent="0.25">
      <c r="A187" s="104">
        <v>450248</v>
      </c>
      <c r="B187" s="4" t="s">
        <v>325</v>
      </c>
      <c r="C187" s="4" t="s">
        <v>3861</v>
      </c>
      <c r="D187" s="75" t="str">
        <f>_xlfn.XLOOKUP(B187,'Product Hierarchy'!A:A,'Product Hierarchy'!C:C)</f>
        <v>DEWALT</v>
      </c>
      <c r="E187" s="75" t="str">
        <f>_xlfn.XLOOKUP(B187,'Product Hierarchy'!A:A,'Product Hierarchy'!E:E)</f>
        <v>Drywall Semi Auto Tools</v>
      </c>
      <c r="F187" s="75" t="str">
        <f>_xlfn.XLOOKUP(B187,'Product Hierarchy'!A:A,'Product Hierarchy'!F:F)</f>
        <v>Skimming Blade Sets</v>
      </c>
      <c r="G187" s="76">
        <v>457.45000000000005</v>
      </c>
      <c r="H187" s="76">
        <v>388.83</v>
      </c>
      <c r="I187" s="6">
        <v>272.18</v>
      </c>
      <c r="J187" s="5" t="s">
        <v>26</v>
      </c>
      <c r="K187" s="5">
        <v>1</v>
      </c>
      <c r="L187" s="5">
        <v>1</v>
      </c>
      <c r="M187" s="45"/>
      <c r="N187" s="7">
        <f t="shared" si="5"/>
        <v>0</v>
      </c>
      <c r="O187" s="97"/>
    </row>
    <row r="188" spans="1:15" x14ac:dyDescent="0.25">
      <c r="A188" s="104">
        <v>450256</v>
      </c>
      <c r="B188" s="4" t="s">
        <v>329</v>
      </c>
      <c r="C188" s="4" t="s">
        <v>2983</v>
      </c>
      <c r="D188" s="75" t="str">
        <f>_xlfn.XLOOKUP(B188,'Product Hierarchy'!A:A,'Product Hierarchy'!C:C)</f>
        <v>DEWALT</v>
      </c>
      <c r="E188" s="75" t="str">
        <f>_xlfn.XLOOKUP(B188,'Product Hierarchy'!A:A,'Product Hierarchy'!E:E)</f>
        <v>Drywall Hand Tools</v>
      </c>
      <c r="F188" s="75" t="str">
        <f>_xlfn.XLOOKUP(B188,'Product Hierarchy'!A:A,'Product Hierarchy'!F:F)</f>
        <v>Hand Tool Sets</v>
      </c>
      <c r="G188" s="76">
        <v>184.47</v>
      </c>
      <c r="H188" s="76">
        <v>156.80000000000001</v>
      </c>
      <c r="I188" s="6">
        <v>109.76</v>
      </c>
      <c r="J188" s="5" t="s">
        <v>26</v>
      </c>
      <c r="K188" s="5">
        <v>1</v>
      </c>
      <c r="L188" s="5">
        <v>1</v>
      </c>
      <c r="M188" s="45"/>
      <c r="N188" s="7">
        <f t="shared" si="5"/>
        <v>0</v>
      </c>
      <c r="O188" s="97"/>
    </row>
    <row r="189" spans="1:15" x14ac:dyDescent="0.25">
      <c r="A189" s="104">
        <v>450262</v>
      </c>
      <c r="B189" s="4" t="s">
        <v>327</v>
      </c>
      <c r="C189" s="4" t="s">
        <v>3000</v>
      </c>
      <c r="D189" s="75" t="str">
        <f>_xlfn.XLOOKUP(B189,'Product Hierarchy'!A:A,'Product Hierarchy'!C:C)</f>
        <v>DEWALT</v>
      </c>
      <c r="E189" s="75" t="str">
        <f>_xlfn.XLOOKUP(B189,'Product Hierarchy'!A:A,'Product Hierarchy'!E:E)</f>
        <v>Drywall Hand Tools</v>
      </c>
      <c r="F189" s="75" t="str">
        <f>_xlfn.XLOOKUP(B189,'Product Hierarchy'!A:A,'Product Hierarchy'!F:F)</f>
        <v>Hand Tool Sets</v>
      </c>
      <c r="G189" s="76">
        <v>232.39000000000001</v>
      </c>
      <c r="H189" s="76">
        <v>197.53</v>
      </c>
      <c r="I189" s="6">
        <v>138.27000000000001</v>
      </c>
      <c r="J189" s="5" t="s">
        <v>26</v>
      </c>
      <c r="K189" s="5">
        <v>1</v>
      </c>
      <c r="L189" s="5">
        <v>6</v>
      </c>
      <c r="M189" s="45"/>
      <c r="N189" s="7">
        <f t="shared" si="5"/>
        <v>0</v>
      </c>
      <c r="O189" s="97"/>
    </row>
    <row r="190" spans="1:15" ht="15" customHeight="1" x14ac:dyDescent="0.25">
      <c r="A190" s="104">
        <v>450267</v>
      </c>
      <c r="B190" s="77" t="s">
        <v>876</v>
      </c>
      <c r="C190" s="78" t="s">
        <v>877</v>
      </c>
      <c r="D190" s="75" t="str">
        <f>_xlfn.XLOOKUP(B190,'Product Hierarchy'!A:A,'Product Hierarchy'!C:C)</f>
        <v>DEWALT</v>
      </c>
      <c r="E190" s="75" t="str">
        <f>_xlfn.XLOOKUP(B190,'Product Hierarchy'!A:A,'Product Hierarchy'!E:E)</f>
        <v>Concrete Hand Tools</v>
      </c>
      <c r="F190" s="75" t="str">
        <f>_xlfn.XLOOKUP(B190,'Product Hierarchy'!A:A,'Product Hierarchy'!F:F)</f>
        <v>Finishing Trowels</v>
      </c>
      <c r="G190" s="76">
        <v>40.49</v>
      </c>
      <c r="H190" s="76">
        <v>36.44</v>
      </c>
      <c r="I190" s="6">
        <v>25.51</v>
      </c>
      <c r="J190" s="5" t="s">
        <v>26</v>
      </c>
      <c r="K190" s="5">
        <v>4</v>
      </c>
      <c r="L190" s="5">
        <v>12</v>
      </c>
      <c r="M190" s="43"/>
      <c r="N190" s="24">
        <f t="shared" si="5"/>
        <v>0</v>
      </c>
      <c r="O190" s="97"/>
    </row>
    <row r="191" spans="1:15" ht="15" customHeight="1" x14ac:dyDescent="0.25">
      <c r="A191" s="104">
        <v>450268</v>
      </c>
      <c r="B191" s="77" t="s">
        <v>878</v>
      </c>
      <c r="C191" s="78" t="s">
        <v>879</v>
      </c>
      <c r="D191" s="75" t="str">
        <f>_xlfn.XLOOKUP(B191,'Product Hierarchy'!A:A,'Product Hierarchy'!C:C)</f>
        <v>DEWALT</v>
      </c>
      <c r="E191" s="75" t="str">
        <f>_xlfn.XLOOKUP(B191,'Product Hierarchy'!A:A,'Product Hierarchy'!E:E)</f>
        <v>Concrete Hand Tools</v>
      </c>
      <c r="F191" s="75" t="str">
        <f>_xlfn.XLOOKUP(B191,'Product Hierarchy'!A:A,'Product Hierarchy'!F:F)</f>
        <v>Finishing Trowels</v>
      </c>
      <c r="G191" s="76">
        <v>34.49</v>
      </c>
      <c r="H191" s="76">
        <v>31.04</v>
      </c>
      <c r="I191" s="6">
        <v>21.73</v>
      </c>
      <c r="J191" s="5" t="s">
        <v>26</v>
      </c>
      <c r="K191" s="5">
        <v>2</v>
      </c>
      <c r="L191" s="5">
        <v>12</v>
      </c>
      <c r="M191" s="43"/>
      <c r="N191" s="24">
        <f t="shared" si="5"/>
        <v>0</v>
      </c>
      <c r="O191" s="97"/>
    </row>
    <row r="192" spans="1:15" ht="15" customHeight="1" x14ac:dyDescent="0.25">
      <c r="A192" s="104">
        <v>450269</v>
      </c>
      <c r="B192" s="77" t="s">
        <v>880</v>
      </c>
      <c r="C192" s="78" t="s">
        <v>881</v>
      </c>
      <c r="D192" s="75" t="str">
        <f>_xlfn.XLOOKUP(B192,'Product Hierarchy'!A:A,'Product Hierarchy'!C:C)</f>
        <v>DEWALT</v>
      </c>
      <c r="E192" s="75" t="str">
        <f>_xlfn.XLOOKUP(B192,'Product Hierarchy'!A:A,'Product Hierarchy'!E:E)</f>
        <v>Concrete Hand Tools</v>
      </c>
      <c r="F192" s="75" t="str">
        <f>_xlfn.XLOOKUP(B192,'Product Hierarchy'!A:A,'Product Hierarchy'!F:F)</f>
        <v>Finishing Trowels</v>
      </c>
      <c r="G192" s="76">
        <v>40.99</v>
      </c>
      <c r="H192" s="76">
        <v>36.89</v>
      </c>
      <c r="I192" s="6">
        <v>25.82</v>
      </c>
      <c r="J192" s="5" t="s">
        <v>26</v>
      </c>
      <c r="K192" s="5">
        <v>2</v>
      </c>
      <c r="L192" s="5">
        <v>12</v>
      </c>
      <c r="M192" s="43"/>
      <c r="N192" s="24">
        <f t="shared" si="5"/>
        <v>0</v>
      </c>
      <c r="O192" s="97"/>
    </row>
    <row r="193" spans="1:15" ht="15" customHeight="1" x14ac:dyDescent="0.25">
      <c r="A193" s="104">
        <v>450270</v>
      </c>
      <c r="B193" s="77" t="s">
        <v>882</v>
      </c>
      <c r="C193" s="78" t="s">
        <v>883</v>
      </c>
      <c r="D193" s="75" t="str">
        <f>_xlfn.XLOOKUP(B193,'Product Hierarchy'!A:A,'Product Hierarchy'!C:C)</f>
        <v>DEWALT</v>
      </c>
      <c r="E193" s="75" t="str">
        <f>_xlfn.XLOOKUP(B193,'Product Hierarchy'!A:A,'Product Hierarchy'!E:E)</f>
        <v>Concrete Hand Tools</v>
      </c>
      <c r="F193" s="75" t="str">
        <f>_xlfn.XLOOKUP(B193,'Product Hierarchy'!A:A,'Product Hierarchy'!F:F)</f>
        <v>Finishing Trowels</v>
      </c>
      <c r="G193" s="76">
        <v>39.99</v>
      </c>
      <c r="H193" s="76">
        <v>35.99</v>
      </c>
      <c r="I193" s="6">
        <v>25.19</v>
      </c>
      <c r="J193" s="5" t="s">
        <v>26</v>
      </c>
      <c r="K193" s="5">
        <v>2</v>
      </c>
      <c r="L193" s="5">
        <v>12</v>
      </c>
      <c r="M193" s="43"/>
      <c r="N193" s="24">
        <f t="shared" si="5"/>
        <v>0</v>
      </c>
      <c r="O193" s="97"/>
    </row>
    <row r="194" spans="1:15" ht="15" customHeight="1" x14ac:dyDescent="0.25">
      <c r="A194" s="104">
        <v>450271</v>
      </c>
      <c r="B194" s="77" t="s">
        <v>884</v>
      </c>
      <c r="C194" s="78" t="s">
        <v>885</v>
      </c>
      <c r="D194" s="75" t="str">
        <f>_xlfn.XLOOKUP(B194,'Product Hierarchy'!A:A,'Product Hierarchy'!C:C)</f>
        <v>DEWALT</v>
      </c>
      <c r="E194" s="75" t="str">
        <f>_xlfn.XLOOKUP(B194,'Product Hierarchy'!A:A,'Product Hierarchy'!E:E)</f>
        <v>Concrete Hand Tools</v>
      </c>
      <c r="F194" s="75" t="str">
        <f>_xlfn.XLOOKUP(B194,'Product Hierarchy'!A:A,'Product Hierarchy'!F:F)</f>
        <v>Finishing Trowels</v>
      </c>
      <c r="G194" s="76">
        <v>45.99</v>
      </c>
      <c r="H194" s="76">
        <v>41.39</v>
      </c>
      <c r="I194" s="6">
        <v>28.97</v>
      </c>
      <c r="J194" s="5" t="s">
        <v>26</v>
      </c>
      <c r="K194" s="5">
        <v>2</v>
      </c>
      <c r="L194" s="5">
        <v>12</v>
      </c>
      <c r="M194" s="43"/>
      <c r="N194" s="24">
        <f t="shared" si="5"/>
        <v>0</v>
      </c>
      <c r="O194" s="97"/>
    </row>
    <row r="195" spans="1:15" ht="15" customHeight="1" x14ac:dyDescent="0.25">
      <c r="A195" s="104">
        <v>450272</v>
      </c>
      <c r="B195" s="77" t="s">
        <v>886</v>
      </c>
      <c r="C195" s="78" t="s">
        <v>887</v>
      </c>
      <c r="D195" s="75" t="str">
        <f>_xlfn.XLOOKUP(B195,'Product Hierarchy'!A:A,'Product Hierarchy'!C:C)</f>
        <v>DEWALT</v>
      </c>
      <c r="E195" s="75" t="str">
        <f>_xlfn.XLOOKUP(B195,'Product Hierarchy'!A:A,'Product Hierarchy'!E:E)</f>
        <v>Concrete Hand Tools</v>
      </c>
      <c r="F195" s="75" t="str">
        <f>_xlfn.XLOOKUP(B195,'Product Hierarchy'!A:A,'Product Hierarchy'!F:F)</f>
        <v>Finishing Trowels</v>
      </c>
      <c r="G195" s="76">
        <v>44.99</v>
      </c>
      <c r="H195" s="76">
        <v>40.49</v>
      </c>
      <c r="I195" s="6">
        <v>28.34</v>
      </c>
      <c r="J195" s="5" t="s">
        <v>26</v>
      </c>
      <c r="K195" s="5">
        <v>2</v>
      </c>
      <c r="L195" s="5">
        <v>12</v>
      </c>
      <c r="M195" s="43"/>
      <c r="N195" s="24">
        <f t="shared" si="5"/>
        <v>0</v>
      </c>
      <c r="O195" s="97"/>
    </row>
    <row r="196" spans="1:15" ht="15" customHeight="1" x14ac:dyDescent="0.25">
      <c r="A196" s="104">
        <v>450273</v>
      </c>
      <c r="B196" s="99" t="s">
        <v>888</v>
      </c>
      <c r="C196" s="78" t="s">
        <v>889</v>
      </c>
      <c r="D196" s="75" t="str">
        <f>_xlfn.XLOOKUP(B196,'Product Hierarchy'!A:A,'Product Hierarchy'!C:C)</f>
        <v>DEWALT</v>
      </c>
      <c r="E196" s="75" t="str">
        <f>_xlfn.XLOOKUP(B196,'Product Hierarchy'!A:A,'Product Hierarchy'!E:E)</f>
        <v>Concrete Hand Tools</v>
      </c>
      <c r="F196" s="75" t="str">
        <f>_xlfn.XLOOKUP(B196,'Product Hierarchy'!A:A,'Product Hierarchy'!F:F)</f>
        <v>Pool Trowels</v>
      </c>
      <c r="G196" s="76">
        <v>48.99</v>
      </c>
      <c r="H196" s="76">
        <v>44.09</v>
      </c>
      <c r="I196" s="6">
        <v>30.86</v>
      </c>
      <c r="J196" s="5" t="s">
        <v>26</v>
      </c>
      <c r="K196" s="5">
        <v>6</v>
      </c>
      <c r="L196" s="5">
        <v>24</v>
      </c>
      <c r="M196" s="43"/>
      <c r="N196" s="24">
        <f t="shared" si="5"/>
        <v>0</v>
      </c>
      <c r="O196" s="97"/>
    </row>
    <row r="197" spans="1:15" ht="15" customHeight="1" x14ac:dyDescent="0.25">
      <c r="A197" s="104">
        <v>450274</v>
      </c>
      <c r="B197" s="77" t="s">
        <v>890</v>
      </c>
      <c r="C197" s="78" t="s">
        <v>891</v>
      </c>
      <c r="D197" s="75" t="str">
        <f>_xlfn.XLOOKUP(B197,'Product Hierarchy'!A:A,'Product Hierarchy'!C:C)</f>
        <v>DEWALT</v>
      </c>
      <c r="E197" s="75" t="str">
        <f>_xlfn.XLOOKUP(B197,'Product Hierarchy'!A:A,'Product Hierarchy'!E:E)</f>
        <v>Concrete Hand Tools</v>
      </c>
      <c r="F197" s="75" t="str">
        <f>_xlfn.XLOOKUP(B197,'Product Hierarchy'!A:A,'Product Hierarchy'!F:F)</f>
        <v>Pool Trowels</v>
      </c>
      <c r="G197" s="76">
        <v>34.49</v>
      </c>
      <c r="H197" s="76">
        <v>31.04</v>
      </c>
      <c r="I197" s="6">
        <v>21.73</v>
      </c>
      <c r="J197" s="5" t="s">
        <v>26</v>
      </c>
      <c r="K197" s="5">
        <v>6</v>
      </c>
      <c r="L197" s="5">
        <v>24</v>
      </c>
      <c r="M197" s="43"/>
      <c r="N197" s="24">
        <f t="shared" si="5"/>
        <v>0</v>
      </c>
      <c r="O197" s="97"/>
    </row>
    <row r="198" spans="1:15" ht="15" customHeight="1" x14ac:dyDescent="0.25">
      <c r="A198" s="104">
        <v>450275</v>
      </c>
      <c r="B198" s="77" t="s">
        <v>892</v>
      </c>
      <c r="C198" s="78" t="s">
        <v>893</v>
      </c>
      <c r="D198" s="75" t="str">
        <f>_xlfn.XLOOKUP(B198,'Product Hierarchy'!A:A,'Product Hierarchy'!C:C)</f>
        <v>DEWALT</v>
      </c>
      <c r="E198" s="75" t="str">
        <f>_xlfn.XLOOKUP(B198,'Product Hierarchy'!A:A,'Product Hierarchy'!E:E)</f>
        <v>Concrete Hand Tools</v>
      </c>
      <c r="F198" s="75" t="str">
        <f>_xlfn.XLOOKUP(B198,'Product Hierarchy'!A:A,'Product Hierarchy'!F:F)</f>
        <v>Pool Trowels</v>
      </c>
      <c r="G198" s="76">
        <v>35.49</v>
      </c>
      <c r="H198" s="76">
        <v>31.94</v>
      </c>
      <c r="I198" s="6">
        <v>22.36</v>
      </c>
      <c r="J198" s="5" t="s">
        <v>26</v>
      </c>
      <c r="K198" s="5">
        <v>6</v>
      </c>
      <c r="L198" s="5">
        <v>24</v>
      </c>
      <c r="M198" s="43"/>
      <c r="N198" s="24">
        <f t="shared" si="5"/>
        <v>0</v>
      </c>
      <c r="O198" s="97"/>
    </row>
    <row r="199" spans="1:15" ht="15" customHeight="1" x14ac:dyDescent="0.25">
      <c r="A199" s="104">
        <v>450276</v>
      </c>
      <c r="B199" s="77" t="s">
        <v>894</v>
      </c>
      <c r="C199" s="78" t="s">
        <v>895</v>
      </c>
      <c r="D199" s="75" t="str">
        <f>_xlfn.XLOOKUP(B199,'Product Hierarchy'!A:A,'Product Hierarchy'!C:C)</f>
        <v>DEWALT</v>
      </c>
      <c r="E199" s="75" t="str">
        <f>_xlfn.XLOOKUP(B199,'Product Hierarchy'!A:A,'Product Hierarchy'!E:E)</f>
        <v>Concrete Hand Tools</v>
      </c>
      <c r="F199" s="75" t="str">
        <f>_xlfn.XLOOKUP(B199,'Product Hierarchy'!A:A,'Product Hierarchy'!F:F)</f>
        <v>Concrete Floats</v>
      </c>
      <c r="G199" s="76">
        <v>45.99</v>
      </c>
      <c r="H199" s="76">
        <v>41.39</v>
      </c>
      <c r="I199" s="6">
        <v>28.97</v>
      </c>
      <c r="J199" s="5" t="s">
        <v>26</v>
      </c>
      <c r="K199" s="5">
        <v>4</v>
      </c>
      <c r="L199" s="5">
        <v>24</v>
      </c>
      <c r="M199" s="43"/>
      <c r="N199" s="24">
        <f t="shared" si="5"/>
        <v>0</v>
      </c>
      <c r="O199" s="97"/>
    </row>
    <row r="200" spans="1:15" ht="15" customHeight="1" x14ac:dyDescent="0.25">
      <c r="A200" s="104">
        <v>450277</v>
      </c>
      <c r="B200" s="77" t="s">
        <v>896</v>
      </c>
      <c r="C200" s="78" t="s">
        <v>897</v>
      </c>
      <c r="D200" s="75" t="str">
        <f>_xlfn.XLOOKUP(B200,'Product Hierarchy'!A:A,'Product Hierarchy'!C:C)</f>
        <v>DEWALT</v>
      </c>
      <c r="E200" s="75" t="str">
        <f>_xlfn.XLOOKUP(B200,'Product Hierarchy'!A:A,'Product Hierarchy'!E:E)</f>
        <v>Concrete Hand Tools</v>
      </c>
      <c r="F200" s="75" t="str">
        <f>_xlfn.XLOOKUP(B200,'Product Hierarchy'!A:A,'Product Hierarchy'!F:F)</f>
        <v>Groovers</v>
      </c>
      <c r="G200" s="76">
        <v>21.49</v>
      </c>
      <c r="H200" s="76">
        <v>19.34</v>
      </c>
      <c r="I200" s="6">
        <v>13.54</v>
      </c>
      <c r="J200" s="5" t="s">
        <v>26</v>
      </c>
      <c r="K200" s="5">
        <v>6</v>
      </c>
      <c r="L200" s="5">
        <v>24</v>
      </c>
      <c r="M200" s="43"/>
      <c r="N200" s="24">
        <f t="shared" si="5"/>
        <v>0</v>
      </c>
      <c r="O200" s="97"/>
    </row>
    <row r="201" spans="1:15" ht="15" customHeight="1" x14ac:dyDescent="0.25">
      <c r="A201" s="104">
        <v>450278</v>
      </c>
      <c r="B201" s="77" t="s">
        <v>898</v>
      </c>
      <c r="C201" s="78" t="s">
        <v>899</v>
      </c>
      <c r="D201" s="75" t="str">
        <f>_xlfn.XLOOKUP(B201,'Product Hierarchy'!A:A,'Product Hierarchy'!C:C)</f>
        <v>DEWALT</v>
      </c>
      <c r="E201" s="75" t="str">
        <f>_xlfn.XLOOKUP(B201,'Product Hierarchy'!A:A,'Product Hierarchy'!E:E)</f>
        <v>Concrete Hand Tools</v>
      </c>
      <c r="F201" s="75" t="str">
        <f>_xlfn.XLOOKUP(B201,'Product Hierarchy'!A:A,'Product Hierarchy'!F:F)</f>
        <v>Edgers</v>
      </c>
      <c r="G201" s="76">
        <v>16.989999999999998</v>
      </c>
      <c r="H201" s="76">
        <v>15.29</v>
      </c>
      <c r="I201" s="6">
        <v>10.7</v>
      </c>
      <c r="J201" s="5" t="s">
        <v>26</v>
      </c>
      <c r="K201" s="5">
        <v>6</v>
      </c>
      <c r="L201" s="5">
        <v>24</v>
      </c>
      <c r="M201" s="43"/>
      <c r="N201" s="24">
        <f t="shared" si="5"/>
        <v>0</v>
      </c>
      <c r="O201" s="97"/>
    </row>
    <row r="202" spans="1:15" ht="15" customHeight="1" x14ac:dyDescent="0.25">
      <c r="A202" s="104">
        <v>450279</v>
      </c>
      <c r="B202" s="77" t="s">
        <v>900</v>
      </c>
      <c r="C202" s="78" t="s">
        <v>901</v>
      </c>
      <c r="D202" s="75" t="str">
        <f>_xlfn.XLOOKUP(B202,'Product Hierarchy'!A:A,'Product Hierarchy'!C:C)</f>
        <v>DEWALT</v>
      </c>
      <c r="E202" s="75" t="str">
        <f>_xlfn.XLOOKUP(B202,'Product Hierarchy'!A:A,'Product Hierarchy'!E:E)</f>
        <v>Concrete Hand Tools</v>
      </c>
      <c r="F202" s="75" t="str">
        <f>_xlfn.XLOOKUP(B202,'Product Hierarchy'!A:A,'Product Hierarchy'!F:F)</f>
        <v>London Trowels</v>
      </c>
      <c r="G202" s="76">
        <v>42.99</v>
      </c>
      <c r="H202" s="76">
        <v>38.69</v>
      </c>
      <c r="I202" s="6">
        <v>27.08</v>
      </c>
      <c r="J202" s="5" t="s">
        <v>26</v>
      </c>
      <c r="K202" s="5">
        <v>2</v>
      </c>
      <c r="L202" s="5">
        <v>12</v>
      </c>
      <c r="M202" s="43"/>
      <c r="N202" s="24">
        <f t="shared" si="5"/>
        <v>0</v>
      </c>
      <c r="O202" s="97"/>
    </row>
    <row r="203" spans="1:15" ht="15" customHeight="1" x14ac:dyDescent="0.25">
      <c r="A203" s="104">
        <v>450280</v>
      </c>
      <c r="B203" s="77" t="s">
        <v>902</v>
      </c>
      <c r="C203" s="78" t="s">
        <v>903</v>
      </c>
      <c r="D203" s="75" t="str">
        <f>_xlfn.XLOOKUP(B203,'Product Hierarchy'!A:A,'Product Hierarchy'!C:C)</f>
        <v>DEWALT</v>
      </c>
      <c r="E203" s="75" t="str">
        <f>_xlfn.XLOOKUP(B203,'Product Hierarchy'!A:A,'Product Hierarchy'!E:E)</f>
        <v>Concrete Hand Tools</v>
      </c>
      <c r="F203" s="75" t="str">
        <f>_xlfn.XLOOKUP(B203,'Product Hierarchy'!A:A,'Product Hierarchy'!F:F)</f>
        <v>London Trowels</v>
      </c>
      <c r="G203" s="76">
        <v>45.99</v>
      </c>
      <c r="H203" s="76">
        <v>41.39</v>
      </c>
      <c r="I203" s="6">
        <v>28.97</v>
      </c>
      <c r="J203" s="5" t="s">
        <v>26</v>
      </c>
      <c r="K203" s="5">
        <v>2</v>
      </c>
      <c r="L203" s="5">
        <v>12</v>
      </c>
      <c r="M203" s="43"/>
      <c r="N203" s="24">
        <f t="shared" si="5"/>
        <v>0</v>
      </c>
      <c r="O203" s="97"/>
    </row>
    <row r="204" spans="1:15" ht="15" customHeight="1" x14ac:dyDescent="0.25">
      <c r="A204" s="104">
        <v>450281</v>
      </c>
      <c r="B204" s="77" t="s">
        <v>904</v>
      </c>
      <c r="C204" s="78" t="s">
        <v>905</v>
      </c>
      <c r="D204" s="75" t="str">
        <f>_xlfn.XLOOKUP(B204,'Product Hierarchy'!A:A,'Product Hierarchy'!C:C)</f>
        <v>DEWALT</v>
      </c>
      <c r="E204" s="75" t="str">
        <f>_xlfn.XLOOKUP(B204,'Product Hierarchy'!A:A,'Product Hierarchy'!E:E)</f>
        <v>Concrete Hand Tools</v>
      </c>
      <c r="F204" s="75" t="str">
        <f>_xlfn.XLOOKUP(B204,'Product Hierarchy'!A:A,'Product Hierarchy'!F:F)</f>
        <v>Pointing Trowels</v>
      </c>
      <c r="G204" s="76">
        <v>22.99</v>
      </c>
      <c r="H204" s="76">
        <v>20.69</v>
      </c>
      <c r="I204" s="6">
        <v>14.48</v>
      </c>
      <c r="J204" s="5" t="s">
        <v>26</v>
      </c>
      <c r="K204" s="5">
        <v>6</v>
      </c>
      <c r="L204" s="5">
        <v>24</v>
      </c>
      <c r="M204" s="43"/>
      <c r="N204" s="24">
        <f t="shared" si="5"/>
        <v>0</v>
      </c>
      <c r="O204" s="97"/>
    </row>
    <row r="205" spans="1:15" ht="15" customHeight="1" x14ac:dyDescent="0.25">
      <c r="A205" s="104">
        <v>450282</v>
      </c>
      <c r="B205" s="77" t="s">
        <v>906</v>
      </c>
      <c r="C205" s="78" t="s">
        <v>907</v>
      </c>
      <c r="D205" s="75" t="str">
        <f>_xlfn.XLOOKUP(B205,'Product Hierarchy'!A:A,'Product Hierarchy'!C:C)</f>
        <v>DEWALT</v>
      </c>
      <c r="E205" s="75" t="str">
        <f>_xlfn.XLOOKUP(B205,'Product Hierarchy'!A:A,'Product Hierarchy'!E:E)</f>
        <v>Concrete Hand Tools</v>
      </c>
      <c r="F205" s="75" t="str">
        <f>_xlfn.XLOOKUP(B205,'Product Hierarchy'!A:A,'Product Hierarchy'!F:F)</f>
        <v>Pointing Trowels</v>
      </c>
      <c r="G205" s="76">
        <v>21.49</v>
      </c>
      <c r="H205" s="76">
        <v>19.34</v>
      </c>
      <c r="I205" s="6">
        <v>13.54</v>
      </c>
      <c r="J205" s="5" t="s">
        <v>26</v>
      </c>
      <c r="K205" s="5">
        <v>6</v>
      </c>
      <c r="L205" s="5">
        <v>24</v>
      </c>
      <c r="M205" s="43"/>
      <c r="N205" s="24">
        <f t="shared" si="5"/>
        <v>0</v>
      </c>
      <c r="O205" s="97"/>
    </row>
    <row r="206" spans="1:15" ht="15" customHeight="1" x14ac:dyDescent="0.25">
      <c r="A206" s="104">
        <v>450283</v>
      </c>
      <c r="B206" s="77" t="s">
        <v>908</v>
      </c>
      <c r="C206" s="78" t="s">
        <v>909</v>
      </c>
      <c r="D206" s="75" t="str">
        <f>_xlfn.XLOOKUP(B206,'Product Hierarchy'!A:A,'Product Hierarchy'!C:C)</f>
        <v>DEWALT</v>
      </c>
      <c r="E206" s="75" t="str">
        <f>_xlfn.XLOOKUP(B206,'Product Hierarchy'!A:A,'Product Hierarchy'!E:E)</f>
        <v>Concrete Hand Tools</v>
      </c>
      <c r="F206" s="75" t="str">
        <f>_xlfn.XLOOKUP(B206,'Product Hierarchy'!A:A,'Product Hierarchy'!F:F)</f>
        <v>Margin Trowels</v>
      </c>
      <c r="G206" s="76">
        <v>21.49</v>
      </c>
      <c r="H206" s="76">
        <v>19.34</v>
      </c>
      <c r="I206" s="6">
        <v>13.54</v>
      </c>
      <c r="J206" s="5" t="s">
        <v>26</v>
      </c>
      <c r="K206" s="5">
        <v>6</v>
      </c>
      <c r="L206" s="5">
        <v>24</v>
      </c>
      <c r="M206" s="43"/>
      <c r="N206" s="24">
        <f t="shared" si="5"/>
        <v>0</v>
      </c>
      <c r="O206" s="97"/>
    </row>
    <row r="207" spans="1:15" ht="15" customHeight="1" x14ac:dyDescent="0.25">
      <c r="A207" s="104">
        <v>450284</v>
      </c>
      <c r="B207" s="77" t="s">
        <v>910</v>
      </c>
      <c r="C207" s="78" t="s">
        <v>911</v>
      </c>
      <c r="D207" s="75" t="str">
        <f>_xlfn.XLOOKUP(B207,'Product Hierarchy'!A:A,'Product Hierarchy'!C:C)</f>
        <v>DEWALT</v>
      </c>
      <c r="E207" s="75" t="str">
        <f>_xlfn.XLOOKUP(B207,'Product Hierarchy'!A:A,'Product Hierarchy'!E:E)</f>
        <v>Concrete Hand Tools</v>
      </c>
      <c r="F207" s="75" t="str">
        <f>_xlfn.XLOOKUP(B207,'Product Hierarchy'!A:A,'Product Hierarchy'!F:F)</f>
        <v>Margin Trowels</v>
      </c>
      <c r="G207" s="76">
        <v>25.49</v>
      </c>
      <c r="H207" s="76">
        <v>22.94</v>
      </c>
      <c r="I207" s="6">
        <v>16.059999999999999</v>
      </c>
      <c r="J207" s="5" t="s">
        <v>26</v>
      </c>
      <c r="K207" s="5">
        <v>6</v>
      </c>
      <c r="L207" s="5">
        <v>24</v>
      </c>
      <c r="M207" s="43"/>
      <c r="N207" s="24">
        <f t="shared" si="5"/>
        <v>0</v>
      </c>
      <c r="O207" s="97"/>
    </row>
    <row r="208" spans="1:15" ht="15" customHeight="1" x14ac:dyDescent="0.25">
      <c r="A208" s="104">
        <v>450285</v>
      </c>
      <c r="B208" s="77" t="s">
        <v>912</v>
      </c>
      <c r="C208" s="78" t="s">
        <v>913</v>
      </c>
      <c r="D208" s="75" t="str">
        <f>_xlfn.XLOOKUP(B208,'Product Hierarchy'!A:A,'Product Hierarchy'!C:C)</f>
        <v>DEWALT</v>
      </c>
      <c r="E208" s="75" t="str">
        <f>_xlfn.XLOOKUP(B208,'Product Hierarchy'!A:A,'Product Hierarchy'!E:E)</f>
        <v>Concrete Hand Tools</v>
      </c>
      <c r="F208" s="75" t="str">
        <f>_xlfn.XLOOKUP(B208,'Product Hierarchy'!A:A,'Product Hierarchy'!F:F)</f>
        <v>Margin Trowels</v>
      </c>
      <c r="G208" s="76">
        <v>30.49</v>
      </c>
      <c r="H208" s="76">
        <v>27.44</v>
      </c>
      <c r="I208" s="6">
        <v>19.21</v>
      </c>
      <c r="J208" s="5" t="s">
        <v>26</v>
      </c>
      <c r="K208" s="5">
        <v>6</v>
      </c>
      <c r="L208" s="5">
        <v>24</v>
      </c>
      <c r="M208" s="43"/>
      <c r="N208" s="24">
        <f t="shared" si="5"/>
        <v>0</v>
      </c>
      <c r="O208" s="97"/>
    </row>
    <row r="209" spans="1:15" ht="15" customHeight="1" x14ac:dyDescent="0.25">
      <c r="A209" s="104">
        <v>450286</v>
      </c>
      <c r="B209" s="77" t="s">
        <v>914</v>
      </c>
      <c r="C209" s="78" t="s">
        <v>915</v>
      </c>
      <c r="D209" s="75" t="str">
        <f>_xlfn.XLOOKUP(B209,'Product Hierarchy'!A:A,'Product Hierarchy'!C:C)</f>
        <v>DEWALT</v>
      </c>
      <c r="E209" s="75" t="str">
        <f>_xlfn.XLOOKUP(B209,'Product Hierarchy'!A:A,'Product Hierarchy'!E:E)</f>
        <v>Concrete Hand Tools</v>
      </c>
      <c r="F209" s="75" t="str">
        <f>_xlfn.XLOOKUP(B209,'Product Hierarchy'!A:A,'Product Hierarchy'!F:F)</f>
        <v>Gauging Trowels</v>
      </c>
      <c r="G209" s="76">
        <v>39.99</v>
      </c>
      <c r="H209" s="76">
        <v>35.99</v>
      </c>
      <c r="I209" s="6">
        <v>25.19</v>
      </c>
      <c r="J209" s="5" t="s">
        <v>26</v>
      </c>
      <c r="K209" s="5">
        <v>6</v>
      </c>
      <c r="L209" s="5">
        <v>24</v>
      </c>
      <c r="M209" s="43"/>
      <c r="N209" s="24">
        <f t="shared" ref="N209:N212" si="6">M209*I209</f>
        <v>0</v>
      </c>
      <c r="O209" s="97"/>
    </row>
    <row r="210" spans="1:15" ht="15" customHeight="1" x14ac:dyDescent="0.25">
      <c r="A210" s="104">
        <v>450287</v>
      </c>
      <c r="B210" s="77" t="s">
        <v>916</v>
      </c>
      <c r="C210" s="78" t="s">
        <v>917</v>
      </c>
      <c r="D210" s="75" t="str">
        <f>_xlfn.XLOOKUP(B210,'Product Hierarchy'!A:A,'Product Hierarchy'!C:C)</f>
        <v>DEWALT</v>
      </c>
      <c r="E210" s="75" t="str">
        <f>_xlfn.XLOOKUP(B210,'Product Hierarchy'!A:A,'Product Hierarchy'!E:E)</f>
        <v>Concrete Hand Tools</v>
      </c>
      <c r="F210" s="75" t="str">
        <f>_xlfn.XLOOKUP(B210,'Product Hierarchy'!A:A,'Product Hierarchy'!F:F)</f>
        <v>Stucco Trowels</v>
      </c>
      <c r="G210" s="76">
        <v>42.99</v>
      </c>
      <c r="H210" s="76">
        <v>38.69</v>
      </c>
      <c r="I210" s="6">
        <v>27.08</v>
      </c>
      <c r="J210" s="5" t="s">
        <v>26</v>
      </c>
      <c r="K210" s="5">
        <v>4</v>
      </c>
      <c r="L210" s="5">
        <v>24</v>
      </c>
      <c r="M210" s="43"/>
      <c r="N210" s="24">
        <f t="shared" si="6"/>
        <v>0</v>
      </c>
      <c r="O210" s="97"/>
    </row>
    <row r="211" spans="1:15" ht="15" customHeight="1" x14ac:dyDescent="0.25">
      <c r="A211" s="104">
        <v>450323</v>
      </c>
      <c r="B211" s="4" t="s">
        <v>1447</v>
      </c>
      <c r="C211" s="4" t="s">
        <v>1448</v>
      </c>
      <c r="D211" s="75" t="str">
        <f>_xlfn.XLOOKUP(B211,'Product Hierarchy'!A:A,'Product Hierarchy'!C:C)</f>
        <v>DEWALT</v>
      </c>
      <c r="E211" s="75" t="str">
        <f>_xlfn.XLOOKUP(B211,'Product Hierarchy'!A:A,'Product Hierarchy'!E:E)</f>
        <v>Drywall Hand Tools</v>
      </c>
      <c r="F211" s="75" t="str">
        <f>_xlfn.XLOOKUP(B211,'Product Hierarchy'!A:A,'Product Hierarchy'!F:F)</f>
        <v>Joint Knives</v>
      </c>
      <c r="G211" s="76">
        <v>17.489999999999998</v>
      </c>
      <c r="H211" s="76">
        <v>15.74</v>
      </c>
      <c r="I211" s="6">
        <v>11.02</v>
      </c>
      <c r="J211" s="5" t="s">
        <v>26</v>
      </c>
      <c r="K211" s="5">
        <v>8</v>
      </c>
      <c r="L211" s="5">
        <v>48</v>
      </c>
      <c r="M211" s="43"/>
      <c r="N211" s="24">
        <f t="shared" si="6"/>
        <v>0</v>
      </c>
      <c r="O211" s="97"/>
    </row>
    <row r="212" spans="1:15" ht="15" customHeight="1" thickBot="1" x14ac:dyDescent="0.3">
      <c r="A212" s="104">
        <v>450324</v>
      </c>
      <c r="B212" s="4" t="s">
        <v>1449</v>
      </c>
      <c r="C212" s="4" t="s">
        <v>1450</v>
      </c>
      <c r="D212" s="75" t="str">
        <f>_xlfn.XLOOKUP(B212,'Product Hierarchy'!A:A,'Product Hierarchy'!C:C)</f>
        <v>DEWALT</v>
      </c>
      <c r="E212" s="75" t="str">
        <f>_xlfn.XLOOKUP(B212,'Product Hierarchy'!A:A,'Product Hierarchy'!E:E)</f>
        <v>Drywall Hand Tools</v>
      </c>
      <c r="F212" s="75" t="str">
        <f>_xlfn.XLOOKUP(B212,'Product Hierarchy'!A:A,'Product Hierarchy'!F:F)</f>
        <v>Joint Knives</v>
      </c>
      <c r="G212" s="76">
        <v>18.489999999999998</v>
      </c>
      <c r="H212" s="76">
        <v>16.64</v>
      </c>
      <c r="I212" s="6">
        <v>11.65</v>
      </c>
      <c r="J212" s="5" t="s">
        <v>26</v>
      </c>
      <c r="K212" s="5">
        <v>8</v>
      </c>
      <c r="L212" s="5">
        <v>48</v>
      </c>
      <c r="M212" s="43"/>
      <c r="N212" s="24">
        <f t="shared" si="6"/>
        <v>0</v>
      </c>
      <c r="O212" s="97"/>
    </row>
    <row r="213" spans="1:15" ht="15.75" thickBot="1" x14ac:dyDescent="0.3">
      <c r="A213" s="20"/>
      <c r="B213" s="21"/>
      <c r="C213" s="21"/>
      <c r="D213" s="21"/>
      <c r="E213" s="21"/>
      <c r="F213" s="21"/>
      <c r="G213" s="21"/>
      <c r="H213" s="21"/>
      <c r="I213" s="21"/>
      <c r="J213" s="12" t="s">
        <v>4359</v>
      </c>
      <c r="K213" s="12"/>
      <c r="L213" s="12"/>
      <c r="M213" s="58">
        <f>SUM(M11:M212)</f>
        <v>0</v>
      </c>
      <c r="N213" s="13">
        <f>SUM(N11:N212)</f>
        <v>0</v>
      </c>
      <c r="O213"/>
    </row>
  </sheetData>
  <sheetProtection algorithmName="SHA-512" hashValue="ZDkRfDBAOE+A5VRz2jp+VC1eDshXI2TdRWOqNhNBLDfiohNCbEm/z+9v0305ru5k1AU/U9QnsO/o+4kX8okKcQ==" saltValue="OVD8Gt9G+RtBv4F6wIrRPA==" spinCount="100000" sheet="1" selectLockedCells="1"/>
  <autoFilter ref="B10:N213" xr:uid="{0A5ECACD-CBB9-433F-93F4-E22A430DEAEE}">
    <sortState xmlns:xlrd2="http://schemas.microsoft.com/office/spreadsheetml/2017/richdata2" ref="B11:N213">
      <sortCondition ref="B10:B213"/>
    </sortState>
  </autoFilter>
  <sortState xmlns:xlrd2="http://schemas.microsoft.com/office/spreadsheetml/2017/richdata2" ref="B11:N212">
    <sortCondition ref="D11:D212"/>
    <sortCondition ref="E11:E212"/>
    <sortCondition ref="F11:F212"/>
    <sortCondition ref="B11:B212"/>
  </sortState>
  <mergeCells count="3">
    <mergeCell ref="A7:D7"/>
    <mergeCell ref="A5:C5"/>
    <mergeCell ref="A6:C6"/>
  </mergeCells>
  <conditionalFormatting sqref="M11:M184">
    <cfRule type="expression" dxfId="1" priority="5">
      <formula>MOD(M11,K11)&lt;&gt;0</formula>
    </cfRule>
  </conditionalFormatting>
  <pageMargins left="0.7" right="0.7" top="0.75" bottom="0.75" header="0.3" footer="0.3"/>
  <pageSetup scale="64" fitToHeight="0" orientation="portrait" r:id="rId1"/>
  <headerFooter>
    <oddFooter>&amp;C&amp;P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AE57-5F93-48A6-9894-0A7E6DBCB50E}">
  <sheetPr>
    <pageSetUpPr fitToPage="1"/>
  </sheetPr>
  <dimension ref="A1:O134"/>
  <sheetViews>
    <sheetView workbookViewId="0">
      <pane ySplit="8" topLeftCell="A9" activePane="bottomLeft" state="frozen"/>
      <selection pane="bottomLeft" activeCell="K9" sqref="K9"/>
    </sheetView>
  </sheetViews>
  <sheetFormatPr defaultColWidth="8.7109375" defaultRowHeight="15" customHeight="1" x14ac:dyDescent="0.25"/>
  <cols>
    <col min="1" max="1" width="13.85546875" customWidth="1"/>
    <col min="2" max="2" width="15.85546875" customWidth="1"/>
    <col min="3" max="3" width="30.28515625" bestFit="1" customWidth="1"/>
    <col min="4" max="4" width="10.7109375" customWidth="1"/>
    <col min="5" max="5" width="18.140625" customWidth="1"/>
    <col min="6" max="6" width="10.140625" bestFit="1" customWidth="1"/>
    <col min="7" max="9" width="9.7109375" customWidth="1"/>
    <col min="10" max="10" width="13.5703125" bestFit="1" customWidth="1"/>
    <col min="11" max="11" width="11.5703125" bestFit="1" customWidth="1"/>
    <col min="12" max="12" width="17.42578125" customWidth="1"/>
    <col min="13" max="13" width="11" bestFit="1" customWidth="1"/>
    <col min="14" max="14" width="9" style="90" bestFit="1" customWidth="1"/>
    <col min="15" max="15" width="8.85546875" style="90" bestFit="1" customWidth="1"/>
  </cols>
  <sheetData>
    <row r="1" spans="1:14" x14ac:dyDescent="0.25">
      <c r="A1" s="25"/>
      <c r="B1" s="25"/>
      <c r="C1" s="25"/>
      <c r="D1" s="25"/>
      <c r="E1" s="25"/>
      <c r="F1" s="111" t="s">
        <v>17</v>
      </c>
      <c r="G1" s="111"/>
      <c r="H1" s="111"/>
      <c r="I1" s="25"/>
      <c r="J1" s="25"/>
      <c r="K1" s="25"/>
      <c r="L1" s="25"/>
    </row>
    <row r="2" spans="1:14" ht="3.75" customHeight="1" x14ac:dyDescent="0.25">
      <c r="A2" s="25"/>
      <c r="B2" s="27"/>
      <c r="C2" s="27"/>
      <c r="D2" s="27"/>
      <c r="E2" s="27"/>
      <c r="F2" s="27"/>
      <c r="G2" s="27"/>
      <c r="H2" s="25"/>
      <c r="I2" s="25"/>
      <c r="J2" s="25"/>
      <c r="K2" s="25"/>
      <c r="L2" s="25"/>
    </row>
    <row r="3" spans="1:14" x14ac:dyDescent="0.25">
      <c r="A3" s="28" t="s">
        <v>0</v>
      </c>
      <c r="B3" s="105"/>
      <c r="C3" s="31">
        <f>'Order Summary'!B3</f>
        <v>0</v>
      </c>
      <c r="D3" s="79"/>
      <c r="E3" s="79"/>
      <c r="F3" s="26"/>
      <c r="G3" s="26"/>
      <c r="H3" s="29"/>
      <c r="I3" s="25"/>
      <c r="J3" s="28" t="s">
        <v>1</v>
      </c>
      <c r="K3" s="105"/>
      <c r="L3" s="102">
        <f>'Order Summary'!F3</f>
        <v>0</v>
      </c>
    </row>
    <row r="4" spans="1:14" x14ac:dyDescent="0.25">
      <c r="A4" s="30" t="s">
        <v>2</v>
      </c>
      <c r="B4" s="25"/>
      <c r="C4" s="33">
        <f>'Order Summary'!B4</f>
        <v>0</v>
      </c>
      <c r="D4" s="79"/>
      <c r="E4" s="79"/>
      <c r="F4" s="26"/>
      <c r="G4" s="26"/>
      <c r="H4" s="29"/>
      <c r="I4" s="25"/>
      <c r="J4" s="28" t="s">
        <v>3</v>
      </c>
      <c r="K4" s="105"/>
      <c r="L4" s="101">
        <f>'Order Summary'!F4</f>
        <v>0</v>
      </c>
    </row>
    <row r="5" spans="1:14" x14ac:dyDescent="0.25">
      <c r="A5" s="108">
        <f>'Order Summary'!B5</f>
        <v>0</v>
      </c>
      <c r="B5" s="108"/>
      <c r="C5" s="108"/>
      <c r="D5" s="79"/>
      <c r="E5" s="79"/>
      <c r="F5" s="26"/>
      <c r="G5" s="26"/>
      <c r="H5" s="25"/>
      <c r="I5" s="25"/>
      <c r="J5" s="28" t="s">
        <v>4</v>
      </c>
      <c r="K5" s="105"/>
      <c r="L5" s="103">
        <f>'Order Summary'!F5</f>
        <v>0</v>
      </c>
    </row>
    <row r="6" spans="1:14" x14ac:dyDescent="0.25">
      <c r="A6" s="108">
        <f>'Order Summary'!B6</f>
        <v>0</v>
      </c>
      <c r="B6" s="108"/>
      <c r="C6" s="108"/>
      <c r="D6" s="79"/>
      <c r="E6" s="79"/>
      <c r="F6" s="26"/>
      <c r="G6" s="26"/>
      <c r="H6" s="25"/>
      <c r="I6" s="25"/>
      <c r="J6" s="28" t="s">
        <v>5</v>
      </c>
      <c r="K6" s="105"/>
      <c r="L6" s="33">
        <f>'Order Summary'!F6</f>
        <v>0</v>
      </c>
    </row>
    <row r="7" spans="1:14" ht="15.75" x14ac:dyDescent="0.25">
      <c r="A7" s="46" t="s">
        <v>330</v>
      </c>
      <c r="B7" s="14"/>
      <c r="I7" s="14"/>
      <c r="J7" s="14"/>
      <c r="K7" s="14"/>
    </row>
    <row r="8" spans="1:14" x14ac:dyDescent="0.25">
      <c r="A8" s="1" t="s">
        <v>19</v>
      </c>
      <c r="B8" s="1" t="s">
        <v>4385</v>
      </c>
      <c r="C8" s="1" t="s">
        <v>20</v>
      </c>
      <c r="D8" s="1" t="s">
        <v>918</v>
      </c>
      <c r="E8" s="1" t="s">
        <v>919</v>
      </c>
      <c r="F8" s="1" t="s">
        <v>920</v>
      </c>
      <c r="G8" s="2" t="s">
        <v>21</v>
      </c>
      <c r="H8" s="2" t="s">
        <v>1717</v>
      </c>
      <c r="I8" s="3" t="s">
        <v>22</v>
      </c>
      <c r="J8" s="15" t="s">
        <v>23</v>
      </c>
      <c r="K8" s="15" t="s">
        <v>6</v>
      </c>
      <c r="L8" s="15" t="s">
        <v>7</v>
      </c>
      <c r="N8"/>
    </row>
    <row r="9" spans="1:14" x14ac:dyDescent="0.25">
      <c r="A9" s="109" t="s">
        <v>730</v>
      </c>
      <c r="B9" s="110"/>
      <c r="C9" s="68"/>
      <c r="D9" s="68"/>
      <c r="E9" s="68"/>
      <c r="F9" s="68"/>
      <c r="G9" s="69"/>
      <c r="H9" s="69"/>
      <c r="I9" s="70"/>
      <c r="J9" s="71"/>
      <c r="K9" s="72"/>
      <c r="L9" s="73"/>
      <c r="N9"/>
    </row>
    <row r="10" spans="1:14" ht="15" customHeight="1" x14ac:dyDescent="0.25">
      <c r="A10" s="104">
        <v>449209</v>
      </c>
      <c r="B10" s="91" t="s">
        <v>4258</v>
      </c>
      <c r="C10" s="47" t="s">
        <v>354</v>
      </c>
      <c r="D10" s="75" t="s">
        <v>958</v>
      </c>
      <c r="E10" s="75" t="s">
        <v>955</v>
      </c>
      <c r="F10" s="75" t="s">
        <v>1043</v>
      </c>
      <c r="G10" s="76">
        <v>37.99</v>
      </c>
      <c r="H10" s="76">
        <v>32.29</v>
      </c>
      <c r="I10" s="6">
        <v>22.6</v>
      </c>
      <c r="J10" s="48" t="s">
        <v>26</v>
      </c>
      <c r="K10" s="49"/>
      <c r="L10" s="50">
        <f t="shared" ref="L10:L38" si="0">K10*I10</f>
        <v>0</v>
      </c>
      <c r="M10" s="97"/>
      <c r="N10" s="97"/>
    </row>
    <row r="11" spans="1:14" ht="15" customHeight="1" x14ac:dyDescent="0.25">
      <c r="A11" s="104">
        <v>449210</v>
      </c>
      <c r="B11" s="91" t="s">
        <v>4259</v>
      </c>
      <c r="C11" s="47" t="s">
        <v>355</v>
      </c>
      <c r="D11" s="75" t="s">
        <v>958</v>
      </c>
      <c r="E11" s="75" t="s">
        <v>955</v>
      </c>
      <c r="F11" s="75" t="s">
        <v>1043</v>
      </c>
      <c r="G11" s="76">
        <v>5.49</v>
      </c>
      <c r="H11" s="76">
        <v>4.67</v>
      </c>
      <c r="I11" s="6">
        <v>3.27</v>
      </c>
      <c r="J11" s="48" t="s">
        <v>26</v>
      </c>
      <c r="K11" s="49"/>
      <c r="L11" s="50">
        <f t="shared" si="0"/>
        <v>0</v>
      </c>
      <c r="M11" s="97"/>
      <c r="N11" s="97"/>
    </row>
    <row r="12" spans="1:14" ht="15" customHeight="1" x14ac:dyDescent="0.25">
      <c r="A12" s="104">
        <v>448572</v>
      </c>
      <c r="B12" s="91" t="s">
        <v>4260</v>
      </c>
      <c r="C12" s="47" t="s">
        <v>356</v>
      </c>
      <c r="D12" s="75" t="s">
        <v>958</v>
      </c>
      <c r="E12" s="75" t="s">
        <v>955</v>
      </c>
      <c r="F12" s="75" t="s">
        <v>1043</v>
      </c>
      <c r="G12" s="76">
        <v>15.49</v>
      </c>
      <c r="H12" s="76">
        <v>13.17</v>
      </c>
      <c r="I12" s="6">
        <v>9.2200000000000006</v>
      </c>
      <c r="J12" s="48" t="s">
        <v>26</v>
      </c>
      <c r="K12" s="49"/>
      <c r="L12" s="50">
        <f t="shared" si="0"/>
        <v>0</v>
      </c>
      <c r="M12" s="97"/>
      <c r="N12" s="97"/>
    </row>
    <row r="13" spans="1:14" ht="15" customHeight="1" x14ac:dyDescent="0.25">
      <c r="A13" s="104">
        <v>448579</v>
      </c>
      <c r="B13" s="91" t="s">
        <v>4261</v>
      </c>
      <c r="C13" s="47" t="s">
        <v>357</v>
      </c>
      <c r="D13" s="75" t="s">
        <v>958</v>
      </c>
      <c r="E13" s="75" t="s">
        <v>955</v>
      </c>
      <c r="F13" s="75" t="s">
        <v>1043</v>
      </c>
      <c r="G13" s="76">
        <v>18.489999999999998</v>
      </c>
      <c r="H13" s="76">
        <v>15.72</v>
      </c>
      <c r="I13" s="6">
        <v>11</v>
      </c>
      <c r="J13" s="48" t="s">
        <v>26</v>
      </c>
      <c r="K13" s="49"/>
      <c r="L13" s="50">
        <f t="shared" si="0"/>
        <v>0</v>
      </c>
      <c r="M13" s="97"/>
      <c r="N13" s="97"/>
    </row>
    <row r="14" spans="1:14" ht="15" customHeight="1" x14ac:dyDescent="0.25">
      <c r="A14" s="104">
        <v>448583</v>
      </c>
      <c r="B14" s="91" t="s">
        <v>4262</v>
      </c>
      <c r="C14" s="47" t="s">
        <v>358</v>
      </c>
      <c r="D14" s="75" t="s">
        <v>958</v>
      </c>
      <c r="E14" s="75" t="s">
        <v>955</v>
      </c>
      <c r="F14" s="75" t="s">
        <v>1043</v>
      </c>
      <c r="G14" s="76">
        <v>1.99</v>
      </c>
      <c r="H14" s="76">
        <v>1.69</v>
      </c>
      <c r="I14" s="6">
        <v>1.18</v>
      </c>
      <c r="J14" s="48" t="s">
        <v>26</v>
      </c>
      <c r="K14" s="49"/>
      <c r="L14" s="50">
        <f t="shared" si="0"/>
        <v>0</v>
      </c>
      <c r="M14" s="97"/>
      <c r="N14" s="97"/>
    </row>
    <row r="15" spans="1:14" ht="15" customHeight="1" x14ac:dyDescent="0.25">
      <c r="A15" s="104">
        <v>448589</v>
      </c>
      <c r="B15" s="91" t="s">
        <v>4263</v>
      </c>
      <c r="C15" s="51" t="s">
        <v>359</v>
      </c>
      <c r="D15" s="75" t="s">
        <v>958</v>
      </c>
      <c r="E15" s="75" t="s">
        <v>955</v>
      </c>
      <c r="F15" s="75" t="s">
        <v>1043</v>
      </c>
      <c r="G15" s="76">
        <v>5.99</v>
      </c>
      <c r="H15" s="76">
        <v>5.09</v>
      </c>
      <c r="I15" s="6">
        <v>3.56</v>
      </c>
      <c r="J15" s="52" t="s">
        <v>26</v>
      </c>
      <c r="K15" s="49"/>
      <c r="L15" s="50">
        <f t="shared" si="0"/>
        <v>0</v>
      </c>
      <c r="M15" s="97"/>
      <c r="N15" s="97"/>
    </row>
    <row r="16" spans="1:14" ht="15" customHeight="1" x14ac:dyDescent="0.25">
      <c r="A16" s="104">
        <v>448438</v>
      </c>
      <c r="B16" s="91" t="s">
        <v>4264</v>
      </c>
      <c r="C16" s="47" t="s">
        <v>360</v>
      </c>
      <c r="D16" s="75" t="s">
        <v>958</v>
      </c>
      <c r="E16" s="75" t="s">
        <v>955</v>
      </c>
      <c r="F16" s="75" t="s">
        <v>1043</v>
      </c>
      <c r="G16" s="76">
        <v>2.4900000000000002</v>
      </c>
      <c r="H16" s="76">
        <v>2.12</v>
      </c>
      <c r="I16" s="6">
        <v>1.48</v>
      </c>
      <c r="J16" s="52" t="s">
        <v>26</v>
      </c>
      <c r="K16" s="49"/>
      <c r="L16" s="50">
        <f t="shared" si="0"/>
        <v>0</v>
      </c>
      <c r="M16" s="97"/>
      <c r="N16" s="97"/>
    </row>
    <row r="17" spans="1:14" ht="15" customHeight="1" x14ac:dyDescent="0.25">
      <c r="A17" s="104">
        <v>448956</v>
      </c>
      <c r="B17" s="91" t="s">
        <v>4265</v>
      </c>
      <c r="C17" s="47" t="s">
        <v>361</v>
      </c>
      <c r="D17" s="75" t="s">
        <v>958</v>
      </c>
      <c r="E17" s="75" t="s">
        <v>955</v>
      </c>
      <c r="F17" s="75" t="s">
        <v>1043</v>
      </c>
      <c r="G17" s="76">
        <v>3.99</v>
      </c>
      <c r="H17" s="76">
        <v>3.39</v>
      </c>
      <c r="I17" s="6">
        <v>2.37</v>
      </c>
      <c r="J17" s="52" t="s">
        <v>26</v>
      </c>
      <c r="K17" s="49"/>
      <c r="L17" s="50">
        <f t="shared" si="0"/>
        <v>0</v>
      </c>
      <c r="M17" s="97"/>
      <c r="N17" s="97"/>
    </row>
    <row r="18" spans="1:14" ht="15" customHeight="1" x14ac:dyDescent="0.25">
      <c r="A18" s="104">
        <v>448593</v>
      </c>
      <c r="B18" s="91" t="s">
        <v>4266</v>
      </c>
      <c r="C18" s="47" t="s">
        <v>362</v>
      </c>
      <c r="D18" s="75" t="s">
        <v>958</v>
      </c>
      <c r="E18" s="75" t="s">
        <v>955</v>
      </c>
      <c r="F18" s="75" t="s">
        <v>1043</v>
      </c>
      <c r="G18" s="76">
        <v>21.49</v>
      </c>
      <c r="H18" s="76">
        <v>18.27</v>
      </c>
      <c r="I18" s="6">
        <v>12.79</v>
      </c>
      <c r="J18" s="52" t="s">
        <v>26</v>
      </c>
      <c r="K18" s="49"/>
      <c r="L18" s="50">
        <f t="shared" si="0"/>
        <v>0</v>
      </c>
      <c r="M18" s="97"/>
      <c r="N18" s="97"/>
    </row>
    <row r="19" spans="1:14" ht="15" customHeight="1" x14ac:dyDescent="0.25">
      <c r="A19" s="104">
        <v>448966</v>
      </c>
      <c r="B19" s="91" t="s">
        <v>4267</v>
      </c>
      <c r="C19" s="47" t="s">
        <v>363</v>
      </c>
      <c r="D19" s="75" t="s">
        <v>958</v>
      </c>
      <c r="E19" s="75" t="s">
        <v>955</v>
      </c>
      <c r="F19" s="75" t="s">
        <v>1043</v>
      </c>
      <c r="G19" s="76">
        <v>3.49</v>
      </c>
      <c r="H19" s="76">
        <v>2.97</v>
      </c>
      <c r="I19" s="6">
        <v>2.08</v>
      </c>
      <c r="J19" s="52" t="s">
        <v>26</v>
      </c>
      <c r="K19" s="49"/>
      <c r="L19" s="50">
        <f t="shared" si="0"/>
        <v>0</v>
      </c>
      <c r="M19" s="97"/>
      <c r="N19" s="97"/>
    </row>
    <row r="20" spans="1:14" ht="15" customHeight="1" x14ac:dyDescent="0.25">
      <c r="A20" s="104">
        <v>448605</v>
      </c>
      <c r="B20" s="91" t="s">
        <v>4268</v>
      </c>
      <c r="C20" s="47" t="s">
        <v>364</v>
      </c>
      <c r="D20" s="75" t="s">
        <v>958</v>
      </c>
      <c r="E20" s="75" t="s">
        <v>955</v>
      </c>
      <c r="F20" s="75" t="s">
        <v>1043</v>
      </c>
      <c r="G20" s="76">
        <v>150.49</v>
      </c>
      <c r="H20" s="76">
        <v>127.92</v>
      </c>
      <c r="I20" s="6">
        <v>89.54</v>
      </c>
      <c r="J20" s="52" t="s">
        <v>26</v>
      </c>
      <c r="K20" s="49"/>
      <c r="L20" s="50">
        <f t="shared" si="0"/>
        <v>0</v>
      </c>
      <c r="M20" s="97"/>
      <c r="N20" s="97"/>
    </row>
    <row r="21" spans="1:14" ht="15" customHeight="1" x14ac:dyDescent="0.25">
      <c r="A21" s="104">
        <v>448494</v>
      </c>
      <c r="B21" s="91" t="s">
        <v>4269</v>
      </c>
      <c r="C21" s="47" t="s">
        <v>365</v>
      </c>
      <c r="D21" s="75" t="s">
        <v>958</v>
      </c>
      <c r="E21" s="75" t="s">
        <v>955</v>
      </c>
      <c r="F21" s="75" t="s">
        <v>1043</v>
      </c>
      <c r="G21" s="76">
        <v>75.489999999999995</v>
      </c>
      <c r="H21" s="76">
        <v>64.17</v>
      </c>
      <c r="I21" s="6">
        <v>44.92</v>
      </c>
      <c r="J21" s="52" t="s">
        <v>26</v>
      </c>
      <c r="K21" s="49"/>
      <c r="L21" s="50">
        <f t="shared" si="0"/>
        <v>0</v>
      </c>
      <c r="M21" s="97"/>
      <c r="N21" s="97"/>
    </row>
    <row r="22" spans="1:14" ht="15" customHeight="1" x14ac:dyDescent="0.25">
      <c r="A22" s="104">
        <v>448609</v>
      </c>
      <c r="B22" s="91" t="s">
        <v>4270</v>
      </c>
      <c r="C22" s="53" t="s">
        <v>366</v>
      </c>
      <c r="D22" s="75" t="s">
        <v>958</v>
      </c>
      <c r="E22" s="75" t="s">
        <v>955</v>
      </c>
      <c r="F22" s="75" t="s">
        <v>1043</v>
      </c>
      <c r="G22" s="76">
        <v>3.49</v>
      </c>
      <c r="H22" s="76">
        <v>2.97</v>
      </c>
      <c r="I22" s="6">
        <v>2.08</v>
      </c>
      <c r="J22" s="52" t="s">
        <v>26</v>
      </c>
      <c r="K22" s="49"/>
      <c r="L22" s="50">
        <f t="shared" si="0"/>
        <v>0</v>
      </c>
      <c r="M22" s="97"/>
      <c r="N22" s="97"/>
    </row>
    <row r="23" spans="1:14" ht="15" customHeight="1" x14ac:dyDescent="0.25">
      <c r="A23" s="104">
        <v>448969</v>
      </c>
      <c r="B23" s="91" t="s">
        <v>4271</v>
      </c>
      <c r="C23" s="53" t="s">
        <v>367</v>
      </c>
      <c r="D23" s="75" t="s">
        <v>958</v>
      </c>
      <c r="E23" s="75" t="s">
        <v>955</v>
      </c>
      <c r="F23" s="75" t="s">
        <v>1043</v>
      </c>
      <c r="G23" s="76">
        <v>1.99</v>
      </c>
      <c r="H23" s="76">
        <v>1.69</v>
      </c>
      <c r="I23" s="6">
        <v>1.18</v>
      </c>
      <c r="J23" s="52" t="s">
        <v>26</v>
      </c>
      <c r="K23" s="49"/>
      <c r="L23" s="50">
        <f t="shared" si="0"/>
        <v>0</v>
      </c>
      <c r="M23" s="97"/>
      <c r="N23" s="97"/>
    </row>
    <row r="24" spans="1:14" ht="15" customHeight="1" x14ac:dyDescent="0.25">
      <c r="A24" s="104">
        <v>448441</v>
      </c>
      <c r="B24" s="91" t="s">
        <v>4272</v>
      </c>
      <c r="C24" s="53" t="s">
        <v>368</v>
      </c>
      <c r="D24" s="75" t="s">
        <v>958</v>
      </c>
      <c r="E24" s="75" t="s">
        <v>955</v>
      </c>
      <c r="F24" s="75" t="s">
        <v>1043</v>
      </c>
      <c r="G24" s="76">
        <v>4.49</v>
      </c>
      <c r="H24" s="76">
        <v>3.82</v>
      </c>
      <c r="I24" s="6">
        <v>2.67</v>
      </c>
      <c r="J24" s="52" t="s">
        <v>26</v>
      </c>
      <c r="K24" s="49"/>
      <c r="L24" s="50">
        <f t="shared" si="0"/>
        <v>0</v>
      </c>
      <c r="M24" s="97"/>
      <c r="N24" s="97"/>
    </row>
    <row r="25" spans="1:14" ht="15" customHeight="1" x14ac:dyDescent="0.25">
      <c r="A25" s="104">
        <v>448970</v>
      </c>
      <c r="B25" s="91" t="s">
        <v>4273</v>
      </c>
      <c r="C25" s="53" t="s">
        <v>369</v>
      </c>
      <c r="D25" s="75" t="s">
        <v>958</v>
      </c>
      <c r="E25" s="75" t="s">
        <v>955</v>
      </c>
      <c r="F25" s="75" t="s">
        <v>1043</v>
      </c>
      <c r="G25" s="76">
        <v>1.99</v>
      </c>
      <c r="H25" s="76">
        <v>1.69</v>
      </c>
      <c r="I25" s="6">
        <v>1.18</v>
      </c>
      <c r="J25" s="52" t="s">
        <v>26</v>
      </c>
      <c r="K25" s="49"/>
      <c r="L25" s="50">
        <f t="shared" si="0"/>
        <v>0</v>
      </c>
      <c r="M25" s="97"/>
      <c r="N25" s="97"/>
    </row>
    <row r="26" spans="1:14" ht="15" customHeight="1" x14ac:dyDescent="0.25">
      <c r="A26" s="104">
        <v>448616</v>
      </c>
      <c r="B26" s="91" t="s">
        <v>4274</v>
      </c>
      <c r="C26" s="53" t="s">
        <v>370</v>
      </c>
      <c r="D26" s="75" t="s">
        <v>958</v>
      </c>
      <c r="E26" s="75" t="s">
        <v>955</v>
      </c>
      <c r="F26" s="75" t="s">
        <v>1043</v>
      </c>
      <c r="G26" s="76">
        <v>43.49</v>
      </c>
      <c r="H26" s="76">
        <v>36.97</v>
      </c>
      <c r="I26" s="6">
        <v>25.88</v>
      </c>
      <c r="J26" s="52" t="s">
        <v>26</v>
      </c>
      <c r="K26" s="49"/>
      <c r="L26" s="50">
        <f t="shared" si="0"/>
        <v>0</v>
      </c>
      <c r="M26" s="97"/>
      <c r="N26" s="97"/>
    </row>
    <row r="27" spans="1:14" ht="15" customHeight="1" x14ac:dyDescent="0.25">
      <c r="A27" s="104">
        <v>449214</v>
      </c>
      <c r="B27" s="91" t="s">
        <v>4275</v>
      </c>
      <c r="C27" s="47" t="s">
        <v>371</v>
      </c>
      <c r="D27" s="75" t="s">
        <v>958</v>
      </c>
      <c r="E27" s="75" t="s">
        <v>955</v>
      </c>
      <c r="F27" s="75" t="s">
        <v>1043</v>
      </c>
      <c r="G27" s="76">
        <v>11.99</v>
      </c>
      <c r="H27" s="76">
        <v>10.19</v>
      </c>
      <c r="I27" s="6">
        <v>7.13</v>
      </c>
      <c r="J27" s="52" t="s">
        <v>26</v>
      </c>
      <c r="K27" s="49"/>
      <c r="L27" s="50">
        <f t="shared" si="0"/>
        <v>0</v>
      </c>
      <c r="M27" s="97"/>
      <c r="N27" s="97"/>
    </row>
    <row r="28" spans="1:14" ht="15" customHeight="1" x14ac:dyDescent="0.25">
      <c r="A28" s="104">
        <v>448623</v>
      </c>
      <c r="B28" s="91" t="s">
        <v>4276</v>
      </c>
      <c r="C28" s="47" t="s">
        <v>372</v>
      </c>
      <c r="D28" s="75" t="s">
        <v>958</v>
      </c>
      <c r="E28" s="75" t="s">
        <v>955</v>
      </c>
      <c r="F28" s="75" t="s">
        <v>1043</v>
      </c>
      <c r="G28" s="76">
        <v>18.489999999999998</v>
      </c>
      <c r="H28" s="76">
        <v>15.72</v>
      </c>
      <c r="I28" s="6">
        <v>11</v>
      </c>
      <c r="J28" s="52" t="s">
        <v>26</v>
      </c>
      <c r="K28" s="49"/>
      <c r="L28" s="50">
        <f t="shared" si="0"/>
        <v>0</v>
      </c>
      <c r="M28" s="97"/>
      <c r="N28" s="97"/>
    </row>
    <row r="29" spans="1:14" ht="15" customHeight="1" x14ac:dyDescent="0.25">
      <c r="A29" s="104">
        <v>448444</v>
      </c>
      <c r="B29" s="91" t="s">
        <v>4277</v>
      </c>
      <c r="C29" s="47" t="s">
        <v>388</v>
      </c>
      <c r="D29" s="75" t="s">
        <v>958</v>
      </c>
      <c r="E29" s="75" t="s">
        <v>955</v>
      </c>
      <c r="F29" s="75" t="s">
        <v>1043</v>
      </c>
      <c r="G29" s="76">
        <v>3.49</v>
      </c>
      <c r="H29" s="76">
        <v>2.97</v>
      </c>
      <c r="I29" s="6">
        <v>2.08</v>
      </c>
      <c r="J29" s="52" t="s">
        <v>26</v>
      </c>
      <c r="K29" s="49"/>
      <c r="L29" s="50">
        <f t="shared" si="0"/>
        <v>0</v>
      </c>
      <c r="M29" s="97"/>
      <c r="N29" s="97"/>
    </row>
    <row r="30" spans="1:14" ht="15" customHeight="1" x14ac:dyDescent="0.25">
      <c r="A30" s="104">
        <v>448495</v>
      </c>
      <c r="B30" s="91" t="s">
        <v>4278</v>
      </c>
      <c r="C30" s="47" t="s">
        <v>394</v>
      </c>
      <c r="D30" s="75" t="s">
        <v>958</v>
      </c>
      <c r="E30" s="75" t="s">
        <v>955</v>
      </c>
      <c r="F30" s="75" t="s">
        <v>1043</v>
      </c>
      <c r="G30" s="76">
        <v>97.99</v>
      </c>
      <c r="H30" s="76">
        <v>83.29</v>
      </c>
      <c r="I30" s="6">
        <v>58.3</v>
      </c>
      <c r="J30" s="52" t="s">
        <v>26</v>
      </c>
      <c r="K30" s="49"/>
      <c r="L30" s="50">
        <f t="shared" si="0"/>
        <v>0</v>
      </c>
      <c r="M30" s="97"/>
      <c r="N30" s="97"/>
    </row>
    <row r="31" spans="1:14" ht="15" customHeight="1" x14ac:dyDescent="0.25">
      <c r="A31" s="104">
        <v>448709</v>
      </c>
      <c r="B31" s="91" t="s">
        <v>4279</v>
      </c>
      <c r="C31" s="47" t="s">
        <v>408</v>
      </c>
      <c r="D31" s="75" t="s">
        <v>958</v>
      </c>
      <c r="E31" s="75" t="s">
        <v>955</v>
      </c>
      <c r="F31" s="75" t="s">
        <v>1043</v>
      </c>
      <c r="G31" s="76">
        <v>24.49</v>
      </c>
      <c r="H31" s="76">
        <v>20.82</v>
      </c>
      <c r="I31" s="6">
        <v>14.57</v>
      </c>
      <c r="J31" s="52" t="s">
        <v>26</v>
      </c>
      <c r="K31" s="49"/>
      <c r="L31" s="50">
        <f t="shared" si="0"/>
        <v>0</v>
      </c>
      <c r="M31" s="97"/>
      <c r="N31" s="97"/>
    </row>
    <row r="32" spans="1:14" ht="15" customHeight="1" x14ac:dyDescent="0.25">
      <c r="A32" s="104">
        <v>448710</v>
      </c>
      <c r="B32" s="91" t="s">
        <v>4280</v>
      </c>
      <c r="C32" s="47" t="s">
        <v>409</v>
      </c>
      <c r="D32" s="75" t="s">
        <v>958</v>
      </c>
      <c r="E32" s="75" t="s">
        <v>955</v>
      </c>
      <c r="F32" s="75" t="s">
        <v>1043</v>
      </c>
      <c r="G32" s="76">
        <v>14.99</v>
      </c>
      <c r="H32" s="76">
        <v>12.74</v>
      </c>
      <c r="I32" s="6">
        <v>8.92</v>
      </c>
      <c r="J32" s="52" t="s">
        <v>26</v>
      </c>
      <c r="K32" s="49"/>
      <c r="L32" s="50">
        <f t="shared" si="0"/>
        <v>0</v>
      </c>
      <c r="M32" s="97"/>
      <c r="N32" s="97"/>
    </row>
    <row r="33" spans="1:14" ht="15" customHeight="1" x14ac:dyDescent="0.25">
      <c r="A33" s="104">
        <v>448712</v>
      </c>
      <c r="B33" s="91" t="s">
        <v>4281</v>
      </c>
      <c r="C33" s="47" t="s">
        <v>410</v>
      </c>
      <c r="D33" s="75" t="s">
        <v>958</v>
      </c>
      <c r="E33" s="75" t="s">
        <v>955</v>
      </c>
      <c r="F33" s="75" t="s">
        <v>1043</v>
      </c>
      <c r="G33" s="76">
        <v>127.99</v>
      </c>
      <c r="H33" s="76">
        <v>108.79</v>
      </c>
      <c r="I33" s="6">
        <v>76.150000000000006</v>
      </c>
      <c r="J33" s="52" t="s">
        <v>26</v>
      </c>
      <c r="K33" s="49"/>
      <c r="L33" s="50">
        <f t="shared" si="0"/>
        <v>0</v>
      </c>
      <c r="M33" s="97"/>
      <c r="N33" s="97"/>
    </row>
    <row r="34" spans="1:14" ht="15" customHeight="1" x14ac:dyDescent="0.25">
      <c r="A34" s="104">
        <v>448790</v>
      </c>
      <c r="B34" s="91" t="s">
        <v>4282</v>
      </c>
      <c r="C34" s="47" t="s">
        <v>416</v>
      </c>
      <c r="D34" s="75" t="s">
        <v>958</v>
      </c>
      <c r="E34" s="75" t="s">
        <v>955</v>
      </c>
      <c r="F34" s="75" t="s">
        <v>1043</v>
      </c>
      <c r="G34" s="76">
        <v>37.99</v>
      </c>
      <c r="H34" s="76">
        <v>32.29</v>
      </c>
      <c r="I34" s="6">
        <v>22.6</v>
      </c>
      <c r="J34" s="52" t="s">
        <v>26</v>
      </c>
      <c r="K34" s="49"/>
      <c r="L34" s="50">
        <f t="shared" si="0"/>
        <v>0</v>
      </c>
      <c r="M34" s="97"/>
      <c r="N34" s="97"/>
    </row>
    <row r="35" spans="1:14" ht="15" customHeight="1" x14ac:dyDescent="0.25">
      <c r="A35" s="104">
        <v>449120</v>
      </c>
      <c r="B35" s="91" t="s">
        <v>4283</v>
      </c>
      <c r="C35" s="47" t="s">
        <v>424</v>
      </c>
      <c r="D35" s="75" t="s">
        <v>958</v>
      </c>
      <c r="E35" s="75" t="s">
        <v>955</v>
      </c>
      <c r="F35" s="75" t="s">
        <v>1043</v>
      </c>
      <c r="G35" s="76">
        <v>7.99</v>
      </c>
      <c r="H35" s="76">
        <v>6.79</v>
      </c>
      <c r="I35" s="6">
        <v>4.75</v>
      </c>
      <c r="J35" s="52" t="s">
        <v>26</v>
      </c>
      <c r="K35" s="49"/>
      <c r="L35" s="50">
        <f t="shared" si="0"/>
        <v>0</v>
      </c>
      <c r="M35" s="97"/>
      <c r="N35" s="97"/>
    </row>
    <row r="36" spans="1:14" ht="15" customHeight="1" x14ac:dyDescent="0.25">
      <c r="A36" s="104">
        <v>448823</v>
      </c>
      <c r="B36" s="91" t="s">
        <v>4284</v>
      </c>
      <c r="C36" s="47" t="s">
        <v>425</v>
      </c>
      <c r="D36" s="75" t="s">
        <v>958</v>
      </c>
      <c r="E36" s="75" t="s">
        <v>955</v>
      </c>
      <c r="F36" s="75" t="s">
        <v>1043</v>
      </c>
      <c r="G36" s="76">
        <v>53.99</v>
      </c>
      <c r="H36" s="76">
        <v>45.89</v>
      </c>
      <c r="I36" s="6">
        <v>32.119999999999997</v>
      </c>
      <c r="J36" s="52" t="s">
        <v>26</v>
      </c>
      <c r="K36" s="49"/>
      <c r="L36" s="50">
        <f t="shared" si="0"/>
        <v>0</v>
      </c>
      <c r="M36" s="97"/>
      <c r="N36" s="97"/>
    </row>
    <row r="37" spans="1:14" ht="15" customHeight="1" x14ac:dyDescent="0.25">
      <c r="A37" s="104">
        <v>449123</v>
      </c>
      <c r="B37" s="91" t="s">
        <v>4285</v>
      </c>
      <c r="C37" s="47" t="s">
        <v>426</v>
      </c>
      <c r="D37" s="75" t="s">
        <v>958</v>
      </c>
      <c r="E37" s="75" t="s">
        <v>955</v>
      </c>
      <c r="F37" s="75" t="s">
        <v>1043</v>
      </c>
      <c r="G37" s="76">
        <v>3.49</v>
      </c>
      <c r="H37" s="76">
        <v>2.97</v>
      </c>
      <c r="I37" s="6">
        <v>2.08</v>
      </c>
      <c r="J37" s="52" t="s">
        <v>26</v>
      </c>
      <c r="K37" s="49"/>
      <c r="L37" s="50">
        <f t="shared" si="0"/>
        <v>0</v>
      </c>
      <c r="M37" s="97"/>
      <c r="N37" s="97"/>
    </row>
    <row r="38" spans="1:14" ht="15" customHeight="1" x14ac:dyDescent="0.25">
      <c r="A38" s="104">
        <v>449124</v>
      </c>
      <c r="B38" s="91" t="s">
        <v>4286</v>
      </c>
      <c r="C38" s="47" t="s">
        <v>427</v>
      </c>
      <c r="D38" s="75" t="s">
        <v>958</v>
      </c>
      <c r="E38" s="75" t="s">
        <v>955</v>
      </c>
      <c r="F38" s="75" t="s">
        <v>1043</v>
      </c>
      <c r="G38" s="76">
        <v>18.489999999999998</v>
      </c>
      <c r="H38" s="76">
        <v>15.72</v>
      </c>
      <c r="I38" s="6">
        <v>11</v>
      </c>
      <c r="J38" s="52" t="s">
        <v>26</v>
      </c>
      <c r="K38" s="49"/>
      <c r="L38" s="50">
        <f t="shared" si="0"/>
        <v>0</v>
      </c>
      <c r="M38" s="97"/>
      <c r="N38" s="97"/>
    </row>
    <row r="39" spans="1:14" ht="15" customHeight="1" x14ac:dyDescent="0.25">
      <c r="A39" s="109" t="s">
        <v>731</v>
      </c>
      <c r="B39" s="110"/>
      <c r="C39" s="68"/>
      <c r="D39" s="68"/>
      <c r="E39" s="68"/>
      <c r="F39" s="68"/>
      <c r="G39" s="69"/>
      <c r="H39" s="69"/>
      <c r="I39" s="70"/>
      <c r="J39" s="74"/>
      <c r="K39" s="72"/>
      <c r="L39" s="73"/>
      <c r="N39"/>
    </row>
    <row r="40" spans="1:14" ht="15" customHeight="1" x14ac:dyDescent="0.25">
      <c r="A40" s="104">
        <v>448670</v>
      </c>
      <c r="B40" s="91" t="s">
        <v>4287</v>
      </c>
      <c r="C40" s="47" t="s">
        <v>389</v>
      </c>
      <c r="D40" s="75" t="s">
        <v>958</v>
      </c>
      <c r="E40" s="75" t="s">
        <v>955</v>
      </c>
      <c r="F40" s="75" t="s">
        <v>1043</v>
      </c>
      <c r="G40" s="76">
        <v>36.49</v>
      </c>
      <c r="H40" s="76">
        <v>31.02</v>
      </c>
      <c r="I40" s="6">
        <v>21.71</v>
      </c>
      <c r="J40" s="52" t="s">
        <v>26</v>
      </c>
      <c r="K40" s="49"/>
      <c r="L40" s="50">
        <f t="shared" ref="L40:L58" si="1">K40*I40</f>
        <v>0</v>
      </c>
      <c r="M40" s="97"/>
      <c r="N40" s="97"/>
    </row>
    <row r="41" spans="1:14" ht="15" customHeight="1" x14ac:dyDescent="0.25">
      <c r="A41" s="104">
        <v>449187</v>
      </c>
      <c r="B41" s="91" t="s">
        <v>4288</v>
      </c>
      <c r="C41" s="47" t="s">
        <v>390</v>
      </c>
      <c r="D41" s="75" t="s">
        <v>958</v>
      </c>
      <c r="E41" s="75" t="s">
        <v>955</v>
      </c>
      <c r="F41" s="75" t="s">
        <v>1043</v>
      </c>
      <c r="G41" s="76">
        <v>4.99</v>
      </c>
      <c r="H41" s="76">
        <v>4.24</v>
      </c>
      <c r="I41" s="6">
        <v>2.97</v>
      </c>
      <c r="J41" s="52" t="s">
        <v>26</v>
      </c>
      <c r="K41" s="49"/>
      <c r="L41" s="50">
        <f t="shared" si="1"/>
        <v>0</v>
      </c>
      <c r="M41" s="97"/>
      <c r="N41" s="97"/>
    </row>
    <row r="42" spans="1:14" ht="15" customHeight="1" x14ac:dyDescent="0.25">
      <c r="A42" s="104">
        <v>449022</v>
      </c>
      <c r="B42" s="91" t="s">
        <v>4289</v>
      </c>
      <c r="C42" s="47" t="s">
        <v>391</v>
      </c>
      <c r="D42" s="75" t="s">
        <v>958</v>
      </c>
      <c r="E42" s="75" t="s">
        <v>955</v>
      </c>
      <c r="F42" s="75" t="s">
        <v>1043</v>
      </c>
      <c r="G42" s="76">
        <v>1.99</v>
      </c>
      <c r="H42" s="76">
        <v>1.69</v>
      </c>
      <c r="I42" s="6">
        <v>1.18</v>
      </c>
      <c r="J42" s="52" t="s">
        <v>26</v>
      </c>
      <c r="K42" s="49"/>
      <c r="L42" s="50">
        <f t="shared" si="1"/>
        <v>0</v>
      </c>
      <c r="M42" s="97"/>
      <c r="N42" s="97"/>
    </row>
    <row r="43" spans="1:14" ht="15" customHeight="1" x14ac:dyDescent="0.25">
      <c r="A43" s="104">
        <v>449024</v>
      </c>
      <c r="B43" s="91" t="s">
        <v>4290</v>
      </c>
      <c r="C43" s="47" t="s">
        <v>392</v>
      </c>
      <c r="D43" s="75" t="s">
        <v>958</v>
      </c>
      <c r="E43" s="75" t="s">
        <v>955</v>
      </c>
      <c r="F43" s="75" t="s">
        <v>1043</v>
      </c>
      <c r="G43" s="76">
        <v>13.99</v>
      </c>
      <c r="H43" s="76">
        <v>11.89</v>
      </c>
      <c r="I43" s="6">
        <v>8.32</v>
      </c>
      <c r="J43" s="52" t="s">
        <v>26</v>
      </c>
      <c r="K43" s="49"/>
      <c r="L43" s="50">
        <f t="shared" si="1"/>
        <v>0</v>
      </c>
      <c r="M43" s="97"/>
      <c r="N43" s="97"/>
    </row>
    <row r="44" spans="1:14" ht="15" customHeight="1" x14ac:dyDescent="0.25">
      <c r="A44" s="104">
        <v>448671</v>
      </c>
      <c r="B44" s="91" t="s">
        <v>4291</v>
      </c>
      <c r="C44" s="47" t="s">
        <v>393</v>
      </c>
      <c r="D44" s="75" t="s">
        <v>958</v>
      </c>
      <c r="E44" s="75" t="s">
        <v>955</v>
      </c>
      <c r="F44" s="75" t="s">
        <v>1043</v>
      </c>
      <c r="G44" s="76">
        <v>9.49</v>
      </c>
      <c r="H44" s="76">
        <v>8.07</v>
      </c>
      <c r="I44" s="6">
        <v>5.65</v>
      </c>
      <c r="J44" s="52" t="s">
        <v>26</v>
      </c>
      <c r="K44" s="49"/>
      <c r="L44" s="50">
        <f t="shared" si="1"/>
        <v>0</v>
      </c>
      <c r="M44" s="97"/>
      <c r="N44" s="97"/>
    </row>
    <row r="45" spans="1:14" ht="15" customHeight="1" x14ac:dyDescent="0.25">
      <c r="A45" s="104">
        <v>449177</v>
      </c>
      <c r="B45" s="91" t="s">
        <v>4292</v>
      </c>
      <c r="C45" s="47" t="s">
        <v>395</v>
      </c>
      <c r="D45" s="75" t="s">
        <v>958</v>
      </c>
      <c r="E45" s="75" t="s">
        <v>955</v>
      </c>
      <c r="F45" s="75" t="s">
        <v>1043</v>
      </c>
      <c r="G45" s="76">
        <v>1.99</v>
      </c>
      <c r="H45" s="76">
        <v>1.69</v>
      </c>
      <c r="I45" s="6">
        <v>1.18</v>
      </c>
      <c r="J45" s="52" t="s">
        <v>26</v>
      </c>
      <c r="K45" s="49"/>
      <c r="L45" s="50">
        <f t="shared" si="1"/>
        <v>0</v>
      </c>
      <c r="M45" s="97"/>
      <c r="N45" s="97"/>
    </row>
    <row r="46" spans="1:14" ht="15" customHeight="1" x14ac:dyDescent="0.25">
      <c r="A46" s="104">
        <v>449029</v>
      </c>
      <c r="B46" s="91" t="s">
        <v>4293</v>
      </c>
      <c r="C46" s="47" t="s">
        <v>396</v>
      </c>
      <c r="D46" s="75" t="s">
        <v>958</v>
      </c>
      <c r="E46" s="75" t="s">
        <v>955</v>
      </c>
      <c r="F46" s="75" t="s">
        <v>1043</v>
      </c>
      <c r="G46" s="76">
        <v>12.49</v>
      </c>
      <c r="H46" s="76">
        <v>10.62</v>
      </c>
      <c r="I46" s="6">
        <v>7.43</v>
      </c>
      <c r="J46" s="52" t="s">
        <v>26</v>
      </c>
      <c r="K46" s="49"/>
      <c r="L46" s="50">
        <f t="shared" si="1"/>
        <v>0</v>
      </c>
      <c r="M46" s="97"/>
      <c r="N46" s="97"/>
    </row>
    <row r="47" spans="1:14" ht="15" customHeight="1" x14ac:dyDescent="0.25">
      <c r="A47" s="104">
        <v>449030</v>
      </c>
      <c r="B47" s="91" t="s">
        <v>4294</v>
      </c>
      <c r="C47" s="47" t="s">
        <v>397</v>
      </c>
      <c r="D47" s="75" t="s">
        <v>958</v>
      </c>
      <c r="E47" s="75" t="s">
        <v>955</v>
      </c>
      <c r="F47" s="75" t="s">
        <v>1043</v>
      </c>
      <c r="G47" s="76">
        <v>12.49</v>
      </c>
      <c r="H47" s="76">
        <v>10.62</v>
      </c>
      <c r="I47" s="6">
        <v>7.43</v>
      </c>
      <c r="J47" s="52" t="s">
        <v>26</v>
      </c>
      <c r="K47" s="49"/>
      <c r="L47" s="50">
        <f t="shared" si="1"/>
        <v>0</v>
      </c>
      <c r="M47" s="97"/>
      <c r="N47" s="97"/>
    </row>
    <row r="48" spans="1:14" ht="15" customHeight="1" x14ac:dyDescent="0.25">
      <c r="A48" s="104">
        <v>448675</v>
      </c>
      <c r="B48" s="91" t="s">
        <v>4295</v>
      </c>
      <c r="C48" s="47" t="s">
        <v>798</v>
      </c>
      <c r="D48" s="75" t="s">
        <v>958</v>
      </c>
      <c r="E48" s="75" t="s">
        <v>955</v>
      </c>
      <c r="F48" s="75" t="s">
        <v>1043</v>
      </c>
      <c r="G48" s="76">
        <v>60.49</v>
      </c>
      <c r="H48" s="76">
        <v>51.42</v>
      </c>
      <c r="I48" s="6">
        <v>35.99</v>
      </c>
      <c r="J48" s="52" t="s">
        <v>26</v>
      </c>
      <c r="K48" s="49"/>
      <c r="L48" s="50">
        <f t="shared" si="1"/>
        <v>0</v>
      </c>
      <c r="M48" s="97"/>
      <c r="N48" s="97"/>
    </row>
    <row r="49" spans="1:14" ht="15" customHeight="1" x14ac:dyDescent="0.25">
      <c r="A49" s="104">
        <v>448676</v>
      </c>
      <c r="B49" s="91" t="s">
        <v>4296</v>
      </c>
      <c r="C49" s="47" t="s">
        <v>398</v>
      </c>
      <c r="D49" s="75" t="s">
        <v>958</v>
      </c>
      <c r="E49" s="75" t="s">
        <v>955</v>
      </c>
      <c r="F49" s="75" t="s">
        <v>1043</v>
      </c>
      <c r="G49" s="76">
        <v>30.49</v>
      </c>
      <c r="H49" s="76">
        <v>25.92</v>
      </c>
      <c r="I49" s="6">
        <v>18.14</v>
      </c>
      <c r="J49" s="52" t="s">
        <v>26</v>
      </c>
      <c r="K49" s="49"/>
      <c r="L49" s="50">
        <f t="shared" si="1"/>
        <v>0</v>
      </c>
      <c r="M49" s="97"/>
      <c r="N49" s="97"/>
    </row>
    <row r="50" spans="1:14" ht="15" customHeight="1" x14ac:dyDescent="0.25">
      <c r="A50" s="104">
        <v>448677</v>
      </c>
      <c r="B50" s="91" t="s">
        <v>4297</v>
      </c>
      <c r="C50" s="47" t="s">
        <v>399</v>
      </c>
      <c r="D50" s="75" t="s">
        <v>958</v>
      </c>
      <c r="E50" s="75" t="s">
        <v>955</v>
      </c>
      <c r="F50" s="75" t="s">
        <v>1043</v>
      </c>
      <c r="G50" s="76">
        <v>22.49</v>
      </c>
      <c r="H50" s="76">
        <v>19.12</v>
      </c>
      <c r="I50" s="6">
        <v>13.38</v>
      </c>
      <c r="J50" s="52" t="s">
        <v>26</v>
      </c>
      <c r="K50" s="49"/>
      <c r="L50" s="50">
        <f t="shared" si="1"/>
        <v>0</v>
      </c>
      <c r="M50" s="97"/>
      <c r="N50" s="97"/>
    </row>
    <row r="51" spans="1:14" ht="15" customHeight="1" x14ac:dyDescent="0.25">
      <c r="A51" s="104">
        <v>449188</v>
      </c>
      <c r="B51" s="91" t="s">
        <v>4298</v>
      </c>
      <c r="C51" s="47" t="s">
        <v>400</v>
      </c>
      <c r="D51" s="75" t="s">
        <v>958</v>
      </c>
      <c r="E51" s="75" t="s">
        <v>955</v>
      </c>
      <c r="F51" s="75" t="s">
        <v>1043</v>
      </c>
      <c r="G51" s="76">
        <v>6.49</v>
      </c>
      <c r="H51" s="76">
        <v>5.52</v>
      </c>
      <c r="I51" s="6">
        <v>3.86</v>
      </c>
      <c r="J51" s="52" t="s">
        <v>26</v>
      </c>
      <c r="K51" s="49"/>
      <c r="L51" s="50">
        <f t="shared" si="1"/>
        <v>0</v>
      </c>
      <c r="M51" s="97"/>
      <c r="N51" s="97"/>
    </row>
    <row r="52" spans="1:14" ht="15" customHeight="1" x14ac:dyDescent="0.25">
      <c r="A52" s="104">
        <v>449062</v>
      </c>
      <c r="B52" s="91" t="s">
        <v>4299</v>
      </c>
      <c r="C52" s="47" t="s">
        <v>405</v>
      </c>
      <c r="D52" s="75" t="s">
        <v>958</v>
      </c>
      <c r="E52" s="75" t="s">
        <v>955</v>
      </c>
      <c r="F52" s="75" t="s">
        <v>1043</v>
      </c>
      <c r="G52" s="76">
        <v>22.99</v>
      </c>
      <c r="H52" s="76">
        <v>19.54</v>
      </c>
      <c r="I52" s="6">
        <v>13.68</v>
      </c>
      <c r="J52" s="52" t="s">
        <v>26</v>
      </c>
      <c r="K52" s="49"/>
      <c r="L52" s="50">
        <f t="shared" si="1"/>
        <v>0</v>
      </c>
      <c r="M52" s="97"/>
      <c r="N52" s="97"/>
    </row>
    <row r="53" spans="1:14" ht="15" customHeight="1" x14ac:dyDescent="0.25">
      <c r="A53" s="104">
        <v>449063</v>
      </c>
      <c r="B53" s="91" t="s">
        <v>4300</v>
      </c>
      <c r="C53" s="47" t="s">
        <v>406</v>
      </c>
      <c r="D53" s="75" t="s">
        <v>958</v>
      </c>
      <c r="E53" s="75" t="s">
        <v>955</v>
      </c>
      <c r="F53" s="75" t="s">
        <v>1043</v>
      </c>
      <c r="G53" s="76">
        <v>22.49</v>
      </c>
      <c r="H53" s="76">
        <v>19.12</v>
      </c>
      <c r="I53" s="6">
        <v>13.38</v>
      </c>
      <c r="J53" s="52" t="s">
        <v>26</v>
      </c>
      <c r="K53" s="49"/>
      <c r="L53" s="50">
        <f t="shared" si="1"/>
        <v>0</v>
      </c>
      <c r="M53" s="97"/>
      <c r="N53" s="97"/>
    </row>
    <row r="54" spans="1:14" ht="15" customHeight="1" x14ac:dyDescent="0.25">
      <c r="A54" s="104">
        <v>449178</v>
      </c>
      <c r="B54" s="91" t="s">
        <v>4301</v>
      </c>
      <c r="C54" s="47" t="s">
        <v>407</v>
      </c>
      <c r="D54" s="75" t="s">
        <v>958</v>
      </c>
      <c r="E54" s="75" t="s">
        <v>955</v>
      </c>
      <c r="F54" s="75" t="s">
        <v>1043</v>
      </c>
      <c r="G54" s="76">
        <v>3.49</v>
      </c>
      <c r="H54" s="76">
        <v>2.97</v>
      </c>
      <c r="I54" s="6">
        <v>2.08</v>
      </c>
      <c r="J54" s="52" t="s">
        <v>26</v>
      </c>
      <c r="K54" s="49"/>
      <c r="L54" s="50">
        <f t="shared" si="1"/>
        <v>0</v>
      </c>
      <c r="M54" s="97"/>
      <c r="N54" s="97"/>
    </row>
    <row r="55" spans="1:14" ht="15" customHeight="1" x14ac:dyDescent="0.25">
      <c r="A55" s="104">
        <v>448862</v>
      </c>
      <c r="B55" s="91" t="s">
        <v>4302</v>
      </c>
      <c r="C55" s="47" t="s">
        <v>352</v>
      </c>
      <c r="D55" s="75" t="s">
        <v>958</v>
      </c>
      <c r="E55" s="75" t="s">
        <v>955</v>
      </c>
      <c r="F55" s="75" t="s">
        <v>1043</v>
      </c>
      <c r="G55" s="76">
        <v>18.989999999999998</v>
      </c>
      <c r="H55" s="76">
        <v>16.14</v>
      </c>
      <c r="I55" s="6">
        <v>11.3</v>
      </c>
      <c r="J55" s="52" t="s">
        <v>26</v>
      </c>
      <c r="K55" s="49"/>
      <c r="L55" s="50">
        <f t="shared" si="1"/>
        <v>0</v>
      </c>
      <c r="M55" s="97"/>
      <c r="N55" s="97"/>
    </row>
    <row r="56" spans="1:14" ht="15" customHeight="1" x14ac:dyDescent="0.25">
      <c r="A56" s="104">
        <v>448866</v>
      </c>
      <c r="B56" s="91" t="s">
        <v>4303</v>
      </c>
      <c r="C56" s="47" t="s">
        <v>438</v>
      </c>
      <c r="D56" s="75" t="s">
        <v>958</v>
      </c>
      <c r="E56" s="75" t="s">
        <v>955</v>
      </c>
      <c r="F56" s="75" t="s">
        <v>1043</v>
      </c>
      <c r="G56" s="76">
        <v>5.99</v>
      </c>
      <c r="H56" s="76">
        <v>5.09</v>
      </c>
      <c r="I56" s="6">
        <v>3.56</v>
      </c>
      <c r="J56" s="52" t="s">
        <v>26</v>
      </c>
      <c r="K56" s="49"/>
      <c r="L56" s="50">
        <f t="shared" si="1"/>
        <v>0</v>
      </c>
      <c r="M56" s="97"/>
      <c r="N56" s="97"/>
    </row>
    <row r="57" spans="1:14" ht="15" customHeight="1" x14ac:dyDescent="0.25">
      <c r="A57" s="104">
        <v>448512</v>
      </c>
      <c r="B57" s="91" t="s">
        <v>4304</v>
      </c>
      <c r="C57" s="47" t="s">
        <v>441</v>
      </c>
      <c r="D57" s="75" t="s">
        <v>958</v>
      </c>
      <c r="E57" s="75" t="s">
        <v>955</v>
      </c>
      <c r="F57" s="75" t="s">
        <v>1043</v>
      </c>
      <c r="G57" s="76">
        <v>30.49</v>
      </c>
      <c r="H57" s="76">
        <v>25.92</v>
      </c>
      <c r="I57" s="6">
        <v>18.14</v>
      </c>
      <c r="J57" s="52" t="s">
        <v>26</v>
      </c>
      <c r="K57" s="49"/>
      <c r="L57" s="50">
        <f t="shared" si="1"/>
        <v>0</v>
      </c>
      <c r="M57" s="97"/>
      <c r="N57" s="97"/>
    </row>
    <row r="58" spans="1:14" ht="15" customHeight="1" x14ac:dyDescent="0.25">
      <c r="A58" s="104">
        <v>448887</v>
      </c>
      <c r="B58" s="91" t="s">
        <v>4305</v>
      </c>
      <c r="C58" s="47" t="s">
        <v>353</v>
      </c>
      <c r="D58" s="75" t="s">
        <v>958</v>
      </c>
      <c r="E58" s="75" t="s">
        <v>955</v>
      </c>
      <c r="F58" s="75" t="s">
        <v>1043</v>
      </c>
      <c r="G58" s="76">
        <v>180.49</v>
      </c>
      <c r="H58" s="76">
        <v>153.41999999999999</v>
      </c>
      <c r="I58" s="6">
        <v>107.39</v>
      </c>
      <c r="J58" s="52" t="s">
        <v>26</v>
      </c>
      <c r="K58" s="49"/>
      <c r="L58" s="50">
        <f t="shared" si="1"/>
        <v>0</v>
      </c>
      <c r="M58" s="97"/>
      <c r="N58" s="97"/>
    </row>
    <row r="59" spans="1:14" ht="15" customHeight="1" x14ac:dyDescent="0.25">
      <c r="A59" s="109" t="s">
        <v>732</v>
      </c>
      <c r="B59" s="110"/>
      <c r="C59" s="68"/>
      <c r="D59" s="68"/>
      <c r="E59" s="68"/>
      <c r="F59" s="68"/>
      <c r="G59" s="69"/>
      <c r="H59" s="69"/>
      <c r="I59" s="70"/>
      <c r="J59" s="74"/>
      <c r="K59" s="72"/>
      <c r="L59" s="73"/>
      <c r="N59"/>
    </row>
    <row r="60" spans="1:14" ht="15" customHeight="1" x14ac:dyDescent="0.25">
      <c r="A60" s="104">
        <v>448441</v>
      </c>
      <c r="B60" s="91" t="s">
        <v>4272</v>
      </c>
      <c r="C60" s="53" t="s">
        <v>733</v>
      </c>
      <c r="D60" s="75" t="s">
        <v>958</v>
      </c>
      <c r="E60" s="75" t="s">
        <v>955</v>
      </c>
      <c r="F60" s="75" t="s">
        <v>1043</v>
      </c>
      <c r="G60" s="76">
        <v>4.49</v>
      </c>
      <c r="H60" s="76">
        <v>3.82</v>
      </c>
      <c r="I60" s="6">
        <v>2.67</v>
      </c>
      <c r="J60" s="52" t="s">
        <v>26</v>
      </c>
      <c r="K60" s="49"/>
      <c r="L60" s="50">
        <f t="shared" ref="L60:L80" si="2">K60*I60</f>
        <v>0</v>
      </c>
      <c r="M60" s="97"/>
      <c r="N60" s="97"/>
    </row>
    <row r="61" spans="1:14" ht="15" customHeight="1" x14ac:dyDescent="0.25">
      <c r="A61" s="104">
        <v>448634</v>
      </c>
      <c r="B61" s="91" t="s">
        <v>4306</v>
      </c>
      <c r="C61" s="53" t="s">
        <v>373</v>
      </c>
      <c r="D61" s="75" t="s">
        <v>958</v>
      </c>
      <c r="E61" s="75" t="s">
        <v>955</v>
      </c>
      <c r="F61" s="75" t="s">
        <v>1043</v>
      </c>
      <c r="G61" s="76">
        <v>4.99</v>
      </c>
      <c r="H61" s="76">
        <v>4.24</v>
      </c>
      <c r="I61" s="6">
        <v>2.97</v>
      </c>
      <c r="J61" s="52" t="s">
        <v>26</v>
      </c>
      <c r="K61" s="49"/>
      <c r="L61" s="50">
        <f t="shared" si="2"/>
        <v>0</v>
      </c>
      <c r="M61" s="97"/>
      <c r="N61" s="97"/>
    </row>
    <row r="62" spans="1:14" ht="15" customHeight="1" x14ac:dyDescent="0.25">
      <c r="A62" s="104">
        <v>448635</v>
      </c>
      <c r="B62" s="91" t="s">
        <v>4307</v>
      </c>
      <c r="C62" s="53" t="s">
        <v>374</v>
      </c>
      <c r="D62" s="75" t="s">
        <v>958</v>
      </c>
      <c r="E62" s="75" t="s">
        <v>955</v>
      </c>
      <c r="F62" s="75" t="s">
        <v>1043</v>
      </c>
      <c r="G62" s="76">
        <v>180.49</v>
      </c>
      <c r="H62" s="76">
        <v>153.41999999999999</v>
      </c>
      <c r="I62" s="6">
        <v>107.39</v>
      </c>
      <c r="J62" s="52" t="s">
        <v>26</v>
      </c>
      <c r="K62" s="49"/>
      <c r="L62" s="50">
        <f t="shared" si="2"/>
        <v>0</v>
      </c>
      <c r="M62" s="97"/>
      <c r="N62" s="97"/>
    </row>
    <row r="63" spans="1:14" ht="15" customHeight="1" x14ac:dyDescent="0.25">
      <c r="A63" s="104">
        <v>448636</v>
      </c>
      <c r="B63" s="91" t="s">
        <v>4308</v>
      </c>
      <c r="C63" s="53" t="s">
        <v>375</v>
      </c>
      <c r="D63" s="75" t="s">
        <v>958</v>
      </c>
      <c r="E63" s="75" t="s">
        <v>955</v>
      </c>
      <c r="F63" s="75" t="s">
        <v>1043</v>
      </c>
      <c r="G63" s="76">
        <v>3.49</v>
      </c>
      <c r="H63" s="76">
        <v>2.97</v>
      </c>
      <c r="I63" s="6">
        <v>2.08</v>
      </c>
      <c r="J63" s="52" t="s">
        <v>26</v>
      </c>
      <c r="K63" s="49"/>
      <c r="L63" s="50">
        <f t="shared" si="2"/>
        <v>0</v>
      </c>
      <c r="M63" s="97"/>
      <c r="N63" s="97"/>
    </row>
    <row r="64" spans="1:14" ht="15" customHeight="1" x14ac:dyDescent="0.25">
      <c r="A64" s="104">
        <v>448468</v>
      </c>
      <c r="B64" s="91" t="s">
        <v>4309</v>
      </c>
      <c r="C64" s="53" t="s">
        <v>376</v>
      </c>
      <c r="D64" s="75" t="s">
        <v>958</v>
      </c>
      <c r="E64" s="75" t="s">
        <v>955</v>
      </c>
      <c r="F64" s="75" t="s">
        <v>1043</v>
      </c>
      <c r="G64" s="76">
        <v>9.49</v>
      </c>
      <c r="H64" s="76">
        <v>8.07</v>
      </c>
      <c r="I64" s="6">
        <v>5.65</v>
      </c>
      <c r="J64" s="52" t="s">
        <v>26</v>
      </c>
      <c r="K64" s="49"/>
      <c r="L64" s="50">
        <f t="shared" si="2"/>
        <v>0</v>
      </c>
      <c r="M64" s="97"/>
      <c r="N64" s="97"/>
    </row>
    <row r="65" spans="1:14" ht="15" customHeight="1" x14ac:dyDescent="0.25">
      <c r="A65" s="104">
        <v>448499</v>
      </c>
      <c r="B65" s="91" t="s">
        <v>4310</v>
      </c>
      <c r="C65" s="47" t="s">
        <v>377</v>
      </c>
      <c r="D65" s="75" t="s">
        <v>958</v>
      </c>
      <c r="E65" s="75" t="s">
        <v>955</v>
      </c>
      <c r="F65" s="75" t="s">
        <v>1043</v>
      </c>
      <c r="G65" s="76">
        <v>1.99</v>
      </c>
      <c r="H65" s="76">
        <v>1.69</v>
      </c>
      <c r="I65" s="6">
        <v>1.18</v>
      </c>
      <c r="J65" s="52" t="s">
        <v>26</v>
      </c>
      <c r="K65" s="49"/>
      <c r="L65" s="50">
        <f t="shared" si="2"/>
        <v>0</v>
      </c>
      <c r="M65" s="97"/>
      <c r="N65" s="97"/>
    </row>
    <row r="66" spans="1:14" ht="15" customHeight="1" x14ac:dyDescent="0.25">
      <c r="A66" s="104">
        <v>448642</v>
      </c>
      <c r="B66" s="91" t="s">
        <v>4311</v>
      </c>
      <c r="C66" s="47" t="s">
        <v>378</v>
      </c>
      <c r="D66" s="75" t="s">
        <v>958</v>
      </c>
      <c r="E66" s="75" t="s">
        <v>955</v>
      </c>
      <c r="F66" s="75" t="s">
        <v>1043</v>
      </c>
      <c r="G66" s="76">
        <v>3.49</v>
      </c>
      <c r="H66" s="76">
        <v>2.97</v>
      </c>
      <c r="I66" s="6">
        <v>2.08</v>
      </c>
      <c r="J66" s="52" t="s">
        <v>26</v>
      </c>
      <c r="K66" s="49"/>
      <c r="L66" s="50">
        <f t="shared" si="2"/>
        <v>0</v>
      </c>
      <c r="M66" s="97"/>
      <c r="N66" s="97"/>
    </row>
    <row r="67" spans="1:14" ht="15" customHeight="1" x14ac:dyDescent="0.25">
      <c r="A67" s="104">
        <v>448648</v>
      </c>
      <c r="B67" s="91" t="s">
        <v>4312</v>
      </c>
      <c r="C67" s="47" t="s">
        <v>379</v>
      </c>
      <c r="D67" s="75" t="s">
        <v>958</v>
      </c>
      <c r="E67" s="75" t="s">
        <v>955</v>
      </c>
      <c r="F67" s="75" t="s">
        <v>1043</v>
      </c>
      <c r="G67" s="76">
        <v>7.99</v>
      </c>
      <c r="H67" s="76">
        <v>6.79</v>
      </c>
      <c r="I67" s="6">
        <v>4.75</v>
      </c>
      <c r="J67" s="52" t="s">
        <v>26</v>
      </c>
      <c r="K67" s="49"/>
      <c r="L67" s="50">
        <f t="shared" si="2"/>
        <v>0</v>
      </c>
      <c r="M67" s="97"/>
      <c r="N67" s="97"/>
    </row>
    <row r="68" spans="1:14" ht="15" customHeight="1" x14ac:dyDescent="0.25">
      <c r="A68" s="104">
        <v>448652</v>
      </c>
      <c r="B68" s="91" t="s">
        <v>4313</v>
      </c>
      <c r="C68" s="47" t="s">
        <v>734</v>
      </c>
      <c r="D68" s="75" t="s">
        <v>958</v>
      </c>
      <c r="E68" s="75" t="s">
        <v>955</v>
      </c>
      <c r="F68" s="75" t="s">
        <v>1043</v>
      </c>
      <c r="G68" s="76">
        <v>37.99</v>
      </c>
      <c r="H68" s="76">
        <v>32.29</v>
      </c>
      <c r="I68" s="6">
        <v>22.6</v>
      </c>
      <c r="J68" s="52" t="s">
        <v>26</v>
      </c>
      <c r="K68" s="49"/>
      <c r="L68" s="50">
        <f t="shared" si="2"/>
        <v>0</v>
      </c>
      <c r="M68" s="97"/>
      <c r="N68" s="97"/>
    </row>
    <row r="69" spans="1:14" ht="15" customHeight="1" x14ac:dyDescent="0.25">
      <c r="A69" s="104">
        <v>448653</v>
      </c>
      <c r="B69" s="91" t="s">
        <v>4314</v>
      </c>
      <c r="C69" s="47" t="s">
        <v>380</v>
      </c>
      <c r="D69" s="75" t="s">
        <v>958</v>
      </c>
      <c r="E69" s="75" t="s">
        <v>955</v>
      </c>
      <c r="F69" s="75" t="s">
        <v>1043</v>
      </c>
      <c r="G69" s="76">
        <v>9.49</v>
      </c>
      <c r="H69" s="76">
        <v>8.07</v>
      </c>
      <c r="I69" s="6">
        <v>5.65</v>
      </c>
      <c r="J69" s="52" t="s">
        <v>26</v>
      </c>
      <c r="K69" s="49"/>
      <c r="L69" s="50">
        <f t="shared" si="2"/>
        <v>0</v>
      </c>
      <c r="M69" s="97"/>
      <c r="N69" s="97"/>
    </row>
    <row r="70" spans="1:14" ht="15" customHeight="1" x14ac:dyDescent="0.25">
      <c r="A70" s="104">
        <v>448654</v>
      </c>
      <c r="B70" s="91" t="s">
        <v>4315</v>
      </c>
      <c r="C70" s="47" t="s">
        <v>381</v>
      </c>
      <c r="D70" s="75" t="s">
        <v>958</v>
      </c>
      <c r="E70" s="75" t="s">
        <v>955</v>
      </c>
      <c r="F70" s="75" t="s">
        <v>1043</v>
      </c>
      <c r="G70" s="76">
        <v>10.99</v>
      </c>
      <c r="H70" s="76">
        <v>9.34</v>
      </c>
      <c r="I70" s="6">
        <v>6.54</v>
      </c>
      <c r="J70" s="52" t="s">
        <v>26</v>
      </c>
      <c r="K70" s="49"/>
      <c r="L70" s="50">
        <f t="shared" si="2"/>
        <v>0</v>
      </c>
      <c r="M70" s="97"/>
      <c r="N70" s="97"/>
    </row>
    <row r="71" spans="1:14" ht="15" customHeight="1" x14ac:dyDescent="0.25">
      <c r="A71" s="104">
        <v>448655</v>
      </c>
      <c r="B71" s="91" t="s">
        <v>4316</v>
      </c>
      <c r="C71" s="47" t="s">
        <v>382</v>
      </c>
      <c r="D71" s="75" t="s">
        <v>958</v>
      </c>
      <c r="E71" s="75" t="s">
        <v>955</v>
      </c>
      <c r="F71" s="75" t="s">
        <v>1043</v>
      </c>
      <c r="G71" s="76">
        <v>270.49</v>
      </c>
      <c r="H71" s="76">
        <v>229.92</v>
      </c>
      <c r="I71" s="6">
        <v>160.94</v>
      </c>
      <c r="J71" s="52" t="s">
        <v>26</v>
      </c>
      <c r="K71" s="49"/>
      <c r="L71" s="50">
        <f t="shared" si="2"/>
        <v>0</v>
      </c>
      <c r="M71" s="97"/>
      <c r="N71" s="97"/>
    </row>
    <row r="72" spans="1:14" ht="15" customHeight="1" x14ac:dyDescent="0.25">
      <c r="A72" s="104">
        <v>448469</v>
      </c>
      <c r="B72" s="91" t="s">
        <v>4317</v>
      </c>
      <c r="C72" s="47" t="s">
        <v>383</v>
      </c>
      <c r="D72" s="75" t="s">
        <v>958</v>
      </c>
      <c r="E72" s="75" t="s">
        <v>955</v>
      </c>
      <c r="F72" s="75" t="s">
        <v>1043</v>
      </c>
      <c r="G72" s="76">
        <v>19.989999999999998</v>
      </c>
      <c r="H72" s="76">
        <v>16.989999999999998</v>
      </c>
      <c r="I72" s="6">
        <v>11.89</v>
      </c>
      <c r="J72" s="52" t="s">
        <v>26</v>
      </c>
      <c r="K72" s="49"/>
      <c r="L72" s="50">
        <f t="shared" si="2"/>
        <v>0</v>
      </c>
      <c r="M72" s="97"/>
      <c r="N72" s="97"/>
    </row>
    <row r="73" spans="1:14" ht="15" customHeight="1" x14ac:dyDescent="0.25">
      <c r="A73" s="104">
        <v>448660</v>
      </c>
      <c r="B73" s="91" t="s">
        <v>4318</v>
      </c>
      <c r="C73" s="47" t="s">
        <v>384</v>
      </c>
      <c r="D73" s="75" t="s">
        <v>958</v>
      </c>
      <c r="E73" s="75" t="s">
        <v>955</v>
      </c>
      <c r="F73" s="75" t="s">
        <v>1043</v>
      </c>
      <c r="G73" s="76">
        <v>240.49</v>
      </c>
      <c r="H73" s="76">
        <v>204.42</v>
      </c>
      <c r="I73" s="6">
        <v>143.09</v>
      </c>
      <c r="J73" s="52" t="s">
        <v>26</v>
      </c>
      <c r="K73" s="49"/>
      <c r="L73" s="50">
        <f t="shared" si="2"/>
        <v>0</v>
      </c>
      <c r="M73" s="97"/>
      <c r="N73" s="97"/>
    </row>
    <row r="74" spans="1:14" ht="15" customHeight="1" x14ac:dyDescent="0.25">
      <c r="A74" s="104">
        <v>449195</v>
      </c>
      <c r="B74" s="91" t="s">
        <v>4319</v>
      </c>
      <c r="C74" s="47" t="s">
        <v>417</v>
      </c>
      <c r="D74" s="75" t="s">
        <v>958</v>
      </c>
      <c r="E74" s="75" t="s">
        <v>955</v>
      </c>
      <c r="F74" s="75" t="s">
        <v>1043</v>
      </c>
      <c r="G74" s="76">
        <v>52.99</v>
      </c>
      <c r="H74" s="76">
        <v>45.04</v>
      </c>
      <c r="I74" s="6">
        <v>31.53</v>
      </c>
      <c r="J74" s="52" t="s">
        <v>26</v>
      </c>
      <c r="K74" s="49"/>
      <c r="L74" s="50">
        <f t="shared" si="2"/>
        <v>0</v>
      </c>
      <c r="M74" s="97"/>
      <c r="N74" s="97"/>
    </row>
    <row r="75" spans="1:14" ht="15" customHeight="1" x14ac:dyDescent="0.25">
      <c r="A75" s="104">
        <v>449196</v>
      </c>
      <c r="B75" s="91" t="s">
        <v>4320</v>
      </c>
      <c r="C75" s="47" t="s">
        <v>418</v>
      </c>
      <c r="D75" s="75" t="s">
        <v>958</v>
      </c>
      <c r="E75" s="75" t="s">
        <v>955</v>
      </c>
      <c r="F75" s="75" t="s">
        <v>1043</v>
      </c>
      <c r="G75" s="76">
        <v>42.49</v>
      </c>
      <c r="H75" s="76">
        <v>36.119999999999997</v>
      </c>
      <c r="I75" s="6">
        <v>25.28</v>
      </c>
      <c r="J75" s="52" t="s">
        <v>26</v>
      </c>
      <c r="K75" s="49"/>
      <c r="L75" s="50">
        <f t="shared" si="2"/>
        <v>0</v>
      </c>
      <c r="M75" s="97"/>
      <c r="N75" s="97"/>
    </row>
    <row r="76" spans="1:14" ht="15" customHeight="1" x14ac:dyDescent="0.25">
      <c r="A76" s="104">
        <v>449197</v>
      </c>
      <c r="B76" s="91" t="s">
        <v>4321</v>
      </c>
      <c r="C76" s="47" t="s">
        <v>419</v>
      </c>
      <c r="D76" s="75" t="s">
        <v>958</v>
      </c>
      <c r="E76" s="75" t="s">
        <v>955</v>
      </c>
      <c r="F76" s="75" t="s">
        <v>1043</v>
      </c>
      <c r="G76" s="76">
        <v>60.49</v>
      </c>
      <c r="H76" s="76">
        <v>51.42</v>
      </c>
      <c r="I76" s="6">
        <v>35.99</v>
      </c>
      <c r="J76" s="52" t="s">
        <v>26</v>
      </c>
      <c r="K76" s="49"/>
      <c r="L76" s="50">
        <f t="shared" si="2"/>
        <v>0</v>
      </c>
      <c r="M76" s="97"/>
      <c r="N76" s="97"/>
    </row>
    <row r="77" spans="1:14" ht="15" customHeight="1" x14ac:dyDescent="0.25">
      <c r="A77" s="104">
        <v>449198</v>
      </c>
      <c r="B77" s="91" t="s">
        <v>4322</v>
      </c>
      <c r="C77" s="47" t="s">
        <v>754</v>
      </c>
      <c r="D77" s="75" t="s">
        <v>958</v>
      </c>
      <c r="E77" s="75" t="s">
        <v>955</v>
      </c>
      <c r="F77" s="75" t="s">
        <v>1043</v>
      </c>
      <c r="G77" s="76">
        <v>67.989999999999995</v>
      </c>
      <c r="H77" s="76">
        <v>57.79</v>
      </c>
      <c r="I77" s="6">
        <v>40.450000000000003</v>
      </c>
      <c r="J77" s="52" t="s">
        <v>26</v>
      </c>
      <c r="K77" s="49"/>
      <c r="L77" s="50">
        <f t="shared" si="2"/>
        <v>0</v>
      </c>
      <c r="M77" s="97"/>
      <c r="N77" s="97"/>
    </row>
    <row r="78" spans="1:14" ht="15" customHeight="1" x14ac:dyDescent="0.25">
      <c r="A78" s="104">
        <v>449106</v>
      </c>
      <c r="B78" s="91" t="s">
        <v>4323</v>
      </c>
      <c r="C78" s="47" t="s">
        <v>420</v>
      </c>
      <c r="D78" s="75" t="s">
        <v>958</v>
      </c>
      <c r="E78" s="75" t="s">
        <v>955</v>
      </c>
      <c r="F78" s="75" t="s">
        <v>1043</v>
      </c>
      <c r="G78" s="76">
        <v>6.49</v>
      </c>
      <c r="H78" s="76">
        <v>5.52</v>
      </c>
      <c r="I78" s="6">
        <v>3.86</v>
      </c>
      <c r="J78" s="52" t="s">
        <v>26</v>
      </c>
      <c r="K78" s="49"/>
      <c r="L78" s="50">
        <f t="shared" si="2"/>
        <v>0</v>
      </c>
      <c r="M78" s="97"/>
      <c r="N78" s="97"/>
    </row>
    <row r="79" spans="1:14" ht="15" customHeight="1" x14ac:dyDescent="0.25">
      <c r="A79" s="104">
        <v>448890</v>
      </c>
      <c r="B79" s="91" t="s">
        <v>4324</v>
      </c>
      <c r="C79" s="47" t="s">
        <v>442</v>
      </c>
      <c r="D79" s="75" t="s">
        <v>958</v>
      </c>
      <c r="E79" s="75" t="s">
        <v>955</v>
      </c>
      <c r="F79" s="75" t="s">
        <v>1043</v>
      </c>
      <c r="G79" s="76">
        <v>2.4900000000000002</v>
      </c>
      <c r="H79" s="76">
        <v>2.12</v>
      </c>
      <c r="I79" s="6">
        <v>1.48</v>
      </c>
      <c r="J79" s="52" t="s">
        <v>26</v>
      </c>
      <c r="K79" s="49"/>
      <c r="L79" s="50">
        <f t="shared" si="2"/>
        <v>0</v>
      </c>
      <c r="M79" s="97"/>
      <c r="N79" s="97"/>
    </row>
    <row r="80" spans="1:14" ht="15" customHeight="1" x14ac:dyDescent="0.25">
      <c r="A80" s="104">
        <v>448896</v>
      </c>
      <c r="B80" s="91" t="s">
        <v>4325</v>
      </c>
      <c r="C80" s="47" t="s">
        <v>444</v>
      </c>
      <c r="D80" s="75" t="s">
        <v>958</v>
      </c>
      <c r="E80" s="75" t="s">
        <v>955</v>
      </c>
      <c r="F80" s="75" t="s">
        <v>1043</v>
      </c>
      <c r="G80" s="76">
        <v>9.49</v>
      </c>
      <c r="H80" s="76">
        <v>8.07</v>
      </c>
      <c r="I80" s="6">
        <v>5.65</v>
      </c>
      <c r="J80" s="52" t="s">
        <v>26</v>
      </c>
      <c r="K80" s="49"/>
      <c r="L80" s="50">
        <f t="shared" si="2"/>
        <v>0</v>
      </c>
      <c r="M80" s="97"/>
      <c r="N80" s="97"/>
    </row>
    <row r="81" spans="1:14" ht="15" customHeight="1" x14ac:dyDescent="0.25">
      <c r="A81" s="109" t="s">
        <v>735</v>
      </c>
      <c r="B81" s="110"/>
      <c r="C81" s="68"/>
      <c r="D81" s="68"/>
      <c r="E81" s="68"/>
      <c r="F81" s="68"/>
      <c r="G81" s="69"/>
      <c r="H81" s="69"/>
      <c r="I81" s="70"/>
      <c r="J81" s="74"/>
      <c r="K81" s="72"/>
      <c r="L81" s="73"/>
      <c r="N81"/>
    </row>
    <row r="82" spans="1:14" ht="15" customHeight="1" x14ac:dyDescent="0.25">
      <c r="A82" s="104">
        <v>448504</v>
      </c>
      <c r="B82" s="91" t="s">
        <v>4326</v>
      </c>
      <c r="C82" s="47" t="s">
        <v>413</v>
      </c>
      <c r="D82" s="75" t="s">
        <v>958</v>
      </c>
      <c r="E82" s="75" t="s">
        <v>955</v>
      </c>
      <c r="F82" s="75" t="s">
        <v>1043</v>
      </c>
      <c r="G82" s="76">
        <v>1.99</v>
      </c>
      <c r="H82" s="76">
        <v>1.69</v>
      </c>
      <c r="I82" s="6">
        <v>1.18</v>
      </c>
      <c r="J82" s="52" t="s">
        <v>26</v>
      </c>
      <c r="K82" s="49"/>
      <c r="L82" s="50">
        <f t="shared" ref="L82:L95" si="3">K82*I82</f>
        <v>0</v>
      </c>
      <c r="M82" s="97"/>
      <c r="N82" s="97"/>
    </row>
    <row r="83" spans="1:14" ht="15" customHeight="1" x14ac:dyDescent="0.25">
      <c r="A83" s="104">
        <v>448505</v>
      </c>
      <c r="B83" s="91" t="s">
        <v>4327</v>
      </c>
      <c r="C83" s="47" t="s">
        <v>414</v>
      </c>
      <c r="D83" s="75" t="s">
        <v>958</v>
      </c>
      <c r="E83" s="75" t="s">
        <v>955</v>
      </c>
      <c r="F83" s="75" t="s">
        <v>1043</v>
      </c>
      <c r="G83" s="76">
        <v>25.99</v>
      </c>
      <c r="H83" s="76">
        <v>22.09</v>
      </c>
      <c r="I83" s="6">
        <v>15.46</v>
      </c>
      <c r="J83" s="52" t="s">
        <v>26</v>
      </c>
      <c r="K83" s="49"/>
      <c r="L83" s="50">
        <f t="shared" si="3"/>
        <v>0</v>
      </c>
      <c r="M83" s="97"/>
      <c r="N83" s="97"/>
    </row>
    <row r="84" spans="1:14" ht="15" customHeight="1" x14ac:dyDescent="0.25">
      <c r="A84" s="104">
        <v>448840</v>
      </c>
      <c r="B84" s="91" t="s">
        <v>4328</v>
      </c>
      <c r="C84" s="47" t="s">
        <v>428</v>
      </c>
      <c r="D84" s="75" t="s">
        <v>958</v>
      </c>
      <c r="E84" s="75" t="s">
        <v>955</v>
      </c>
      <c r="F84" s="75" t="s">
        <v>1043</v>
      </c>
      <c r="G84" s="76">
        <v>37.99</v>
      </c>
      <c r="H84" s="76">
        <v>32.29</v>
      </c>
      <c r="I84" s="6">
        <v>22.6</v>
      </c>
      <c r="J84" s="52" t="s">
        <v>26</v>
      </c>
      <c r="K84" s="49"/>
      <c r="L84" s="50">
        <f t="shared" si="3"/>
        <v>0</v>
      </c>
      <c r="M84" s="97"/>
      <c r="N84" s="97"/>
    </row>
    <row r="85" spans="1:14" ht="15" customHeight="1" x14ac:dyDescent="0.25">
      <c r="A85" s="104">
        <v>448841</v>
      </c>
      <c r="B85" s="91" t="s">
        <v>4329</v>
      </c>
      <c r="C85" s="47" t="s">
        <v>429</v>
      </c>
      <c r="D85" s="75" t="s">
        <v>958</v>
      </c>
      <c r="E85" s="75" t="s">
        <v>955</v>
      </c>
      <c r="F85" s="75" t="s">
        <v>1043</v>
      </c>
      <c r="G85" s="76">
        <v>22.99</v>
      </c>
      <c r="H85" s="76">
        <v>19.54</v>
      </c>
      <c r="I85" s="6">
        <v>13.68</v>
      </c>
      <c r="J85" s="52" t="s">
        <v>26</v>
      </c>
      <c r="K85" s="49"/>
      <c r="L85" s="50">
        <f t="shared" si="3"/>
        <v>0</v>
      </c>
      <c r="M85" s="97"/>
      <c r="N85" s="97"/>
    </row>
    <row r="86" spans="1:14" ht="15" customHeight="1" x14ac:dyDescent="0.25">
      <c r="A86" s="104">
        <v>449126</v>
      </c>
      <c r="B86" s="91" t="s">
        <v>4330</v>
      </c>
      <c r="C86" s="47" t="s">
        <v>430</v>
      </c>
      <c r="D86" s="75" t="s">
        <v>958</v>
      </c>
      <c r="E86" s="75" t="s">
        <v>955</v>
      </c>
      <c r="F86" s="75" t="s">
        <v>1043</v>
      </c>
      <c r="G86" s="76">
        <v>1.99</v>
      </c>
      <c r="H86" s="76">
        <v>1.69</v>
      </c>
      <c r="I86" s="6">
        <v>1.18</v>
      </c>
      <c r="J86" s="52" t="s">
        <v>26</v>
      </c>
      <c r="K86" s="49"/>
      <c r="L86" s="50">
        <f t="shared" si="3"/>
        <v>0</v>
      </c>
      <c r="M86" s="97"/>
      <c r="N86" s="97"/>
    </row>
    <row r="87" spans="1:14" ht="15" customHeight="1" x14ac:dyDescent="0.25">
      <c r="A87" s="104">
        <v>448508</v>
      </c>
      <c r="B87" s="91" t="s">
        <v>4331</v>
      </c>
      <c r="C87" s="47" t="s">
        <v>431</v>
      </c>
      <c r="D87" s="75" t="s">
        <v>958</v>
      </c>
      <c r="E87" s="75" t="s">
        <v>955</v>
      </c>
      <c r="F87" s="75" t="s">
        <v>1043</v>
      </c>
      <c r="G87" s="76">
        <v>16.989999999999998</v>
      </c>
      <c r="H87" s="76">
        <v>14.44</v>
      </c>
      <c r="I87" s="6">
        <v>10.11</v>
      </c>
      <c r="J87" s="52" t="s">
        <v>26</v>
      </c>
      <c r="K87" s="49"/>
      <c r="L87" s="50">
        <f t="shared" si="3"/>
        <v>0</v>
      </c>
      <c r="M87" s="97"/>
      <c r="N87" s="97"/>
    </row>
    <row r="88" spans="1:14" ht="15" customHeight="1" x14ac:dyDescent="0.25">
      <c r="A88" s="104">
        <v>448509</v>
      </c>
      <c r="B88" s="91" t="s">
        <v>4332</v>
      </c>
      <c r="C88" s="47" t="s">
        <v>432</v>
      </c>
      <c r="D88" s="75" t="s">
        <v>958</v>
      </c>
      <c r="E88" s="75" t="s">
        <v>955</v>
      </c>
      <c r="F88" s="75" t="s">
        <v>1043</v>
      </c>
      <c r="G88" s="76">
        <v>9.49</v>
      </c>
      <c r="H88" s="76">
        <v>8.07</v>
      </c>
      <c r="I88" s="6">
        <v>5.65</v>
      </c>
      <c r="J88" s="52" t="s">
        <v>26</v>
      </c>
      <c r="K88" s="49"/>
      <c r="L88" s="50">
        <f t="shared" si="3"/>
        <v>0</v>
      </c>
      <c r="M88" s="97"/>
      <c r="N88" s="97"/>
    </row>
    <row r="89" spans="1:14" ht="15" customHeight="1" x14ac:dyDescent="0.25">
      <c r="A89" s="104">
        <v>448510</v>
      </c>
      <c r="B89" s="91" t="s">
        <v>4333</v>
      </c>
      <c r="C89" s="47" t="s">
        <v>433</v>
      </c>
      <c r="D89" s="75" t="s">
        <v>958</v>
      </c>
      <c r="E89" s="75" t="s">
        <v>955</v>
      </c>
      <c r="F89" s="75" t="s">
        <v>1043</v>
      </c>
      <c r="G89" s="76">
        <v>16.989999999999998</v>
      </c>
      <c r="H89" s="76">
        <v>14.44</v>
      </c>
      <c r="I89" s="6">
        <v>10.11</v>
      </c>
      <c r="J89" s="52" t="s">
        <v>26</v>
      </c>
      <c r="K89" s="49"/>
      <c r="L89" s="50">
        <f t="shared" si="3"/>
        <v>0</v>
      </c>
      <c r="M89" s="97"/>
      <c r="N89" s="97"/>
    </row>
    <row r="90" spans="1:14" ht="15" customHeight="1" x14ac:dyDescent="0.25">
      <c r="A90" s="104">
        <v>448511</v>
      </c>
      <c r="B90" s="91" t="s">
        <v>4334</v>
      </c>
      <c r="C90" s="47" t="s">
        <v>434</v>
      </c>
      <c r="D90" s="75" t="s">
        <v>958</v>
      </c>
      <c r="E90" s="75" t="s">
        <v>955</v>
      </c>
      <c r="F90" s="75" t="s">
        <v>1043</v>
      </c>
      <c r="G90" s="76">
        <v>9.49</v>
      </c>
      <c r="H90" s="76">
        <v>8.07</v>
      </c>
      <c r="I90" s="6">
        <v>5.65</v>
      </c>
      <c r="J90" s="52" t="s">
        <v>26</v>
      </c>
      <c r="K90" s="49"/>
      <c r="L90" s="50">
        <f t="shared" si="3"/>
        <v>0</v>
      </c>
      <c r="M90" s="97"/>
      <c r="N90" s="97"/>
    </row>
    <row r="91" spans="1:14" ht="15" customHeight="1" x14ac:dyDescent="0.25">
      <c r="A91" s="104">
        <v>448537</v>
      </c>
      <c r="B91" s="91" t="s">
        <v>4335</v>
      </c>
      <c r="C91" s="47" t="s">
        <v>439</v>
      </c>
      <c r="D91" s="75" t="s">
        <v>958</v>
      </c>
      <c r="E91" s="75" t="s">
        <v>955</v>
      </c>
      <c r="F91" s="75" t="s">
        <v>1043</v>
      </c>
      <c r="G91" s="76">
        <v>1.99</v>
      </c>
      <c r="H91" s="76">
        <v>1.69</v>
      </c>
      <c r="I91" s="6">
        <v>1.18</v>
      </c>
      <c r="J91" s="52" t="s">
        <v>26</v>
      </c>
      <c r="K91" s="49"/>
      <c r="L91" s="50">
        <f t="shared" si="3"/>
        <v>0</v>
      </c>
      <c r="M91" s="97"/>
      <c r="N91" s="97"/>
    </row>
    <row r="92" spans="1:14" ht="15" customHeight="1" x14ac:dyDescent="0.25">
      <c r="A92" s="104">
        <v>448873</v>
      </c>
      <c r="B92" s="91" t="s">
        <v>4336</v>
      </c>
      <c r="C92" s="47" t="s">
        <v>440</v>
      </c>
      <c r="D92" s="75" t="s">
        <v>958</v>
      </c>
      <c r="E92" s="75" t="s">
        <v>955</v>
      </c>
      <c r="F92" s="75" t="s">
        <v>1043</v>
      </c>
      <c r="G92" s="76">
        <v>24.49</v>
      </c>
      <c r="H92" s="76">
        <v>20.82</v>
      </c>
      <c r="I92" s="6">
        <v>14.57</v>
      </c>
      <c r="J92" s="52" t="s">
        <v>26</v>
      </c>
      <c r="K92" s="49"/>
      <c r="L92" s="50">
        <f t="shared" si="3"/>
        <v>0</v>
      </c>
      <c r="M92" s="97"/>
      <c r="N92" s="97"/>
    </row>
    <row r="93" spans="1:14" ht="15" customHeight="1" x14ac:dyDescent="0.25">
      <c r="A93" s="104">
        <v>448893</v>
      </c>
      <c r="B93" s="91" t="s">
        <v>4337</v>
      </c>
      <c r="C93" s="47" t="s">
        <v>443</v>
      </c>
      <c r="D93" s="75" t="s">
        <v>958</v>
      </c>
      <c r="E93" s="75" t="s">
        <v>955</v>
      </c>
      <c r="F93" s="75" t="s">
        <v>1043</v>
      </c>
      <c r="G93" s="76">
        <v>27.49</v>
      </c>
      <c r="H93" s="76">
        <v>23.37</v>
      </c>
      <c r="I93" s="6">
        <v>16.36</v>
      </c>
      <c r="J93" s="52" t="s">
        <v>26</v>
      </c>
      <c r="K93" s="49"/>
      <c r="L93" s="50">
        <f t="shared" si="3"/>
        <v>0</v>
      </c>
      <c r="M93" s="97"/>
      <c r="N93" s="97"/>
    </row>
    <row r="94" spans="1:14" ht="15" customHeight="1" x14ac:dyDescent="0.25">
      <c r="A94" s="104">
        <v>448901</v>
      </c>
      <c r="B94" s="91" t="s">
        <v>4338</v>
      </c>
      <c r="C94" s="47" t="s">
        <v>445</v>
      </c>
      <c r="D94" s="75" t="s">
        <v>958</v>
      </c>
      <c r="E94" s="75" t="s">
        <v>955</v>
      </c>
      <c r="F94" s="75" t="s">
        <v>1043</v>
      </c>
      <c r="G94" s="76">
        <v>45.49</v>
      </c>
      <c r="H94" s="76">
        <v>38.67</v>
      </c>
      <c r="I94" s="6">
        <v>27.07</v>
      </c>
      <c r="J94" s="52" t="s">
        <v>26</v>
      </c>
      <c r="K94" s="49"/>
      <c r="L94" s="50">
        <f t="shared" si="3"/>
        <v>0</v>
      </c>
      <c r="M94" s="97"/>
      <c r="N94" s="97"/>
    </row>
    <row r="95" spans="1:14" ht="15" customHeight="1" x14ac:dyDescent="0.25">
      <c r="A95" s="104">
        <v>448902</v>
      </c>
      <c r="B95" s="91" t="s">
        <v>4339</v>
      </c>
      <c r="C95" s="47" t="s">
        <v>870</v>
      </c>
      <c r="D95" s="75" t="s">
        <v>958</v>
      </c>
      <c r="E95" s="75" t="s">
        <v>955</v>
      </c>
      <c r="F95" s="75" t="s">
        <v>1043</v>
      </c>
      <c r="G95" s="76">
        <v>52.99</v>
      </c>
      <c r="H95" s="76">
        <v>45.04</v>
      </c>
      <c r="I95" s="6">
        <v>31.53</v>
      </c>
      <c r="J95" s="52" t="s">
        <v>26</v>
      </c>
      <c r="K95" s="49"/>
      <c r="L95" s="50">
        <f t="shared" si="3"/>
        <v>0</v>
      </c>
      <c r="M95" s="97"/>
      <c r="N95" s="97"/>
    </row>
    <row r="96" spans="1:14" ht="15" customHeight="1" x14ac:dyDescent="0.25">
      <c r="A96" s="109" t="s">
        <v>736</v>
      </c>
      <c r="B96" s="110"/>
      <c r="C96" s="68"/>
      <c r="D96" s="68"/>
      <c r="E96" s="68"/>
      <c r="F96" s="68"/>
      <c r="G96" s="69"/>
      <c r="H96" s="69"/>
      <c r="I96" s="70"/>
      <c r="J96" s="74"/>
      <c r="K96" s="72"/>
      <c r="L96" s="73"/>
      <c r="N96"/>
    </row>
    <row r="97" spans="1:14" ht="15" customHeight="1" x14ac:dyDescent="0.25">
      <c r="A97" s="104">
        <v>449037</v>
      </c>
      <c r="B97" s="91" t="s">
        <v>4340</v>
      </c>
      <c r="C97" s="47" t="s">
        <v>401</v>
      </c>
      <c r="D97" s="75" t="s">
        <v>958</v>
      </c>
      <c r="E97" s="75" t="s">
        <v>955</v>
      </c>
      <c r="F97" s="75" t="s">
        <v>1043</v>
      </c>
      <c r="G97" s="76">
        <v>7.99</v>
      </c>
      <c r="H97" s="76">
        <v>6.79</v>
      </c>
      <c r="I97" s="6">
        <v>4.75</v>
      </c>
      <c r="J97" s="52" t="s">
        <v>26</v>
      </c>
      <c r="K97" s="49"/>
      <c r="L97" s="50">
        <f t="shared" ref="L97:L103" si="4">K97*I97</f>
        <v>0</v>
      </c>
      <c r="M97" s="97"/>
      <c r="N97" s="97"/>
    </row>
    <row r="98" spans="1:14" ht="15" customHeight="1" x14ac:dyDescent="0.25">
      <c r="A98" s="104">
        <v>448446</v>
      </c>
      <c r="B98" s="91" t="s">
        <v>4341</v>
      </c>
      <c r="C98" s="47" t="s">
        <v>403</v>
      </c>
      <c r="D98" s="75" t="s">
        <v>958</v>
      </c>
      <c r="E98" s="75" t="s">
        <v>955</v>
      </c>
      <c r="F98" s="75" t="s">
        <v>1043</v>
      </c>
      <c r="G98" s="76">
        <v>3.49</v>
      </c>
      <c r="H98" s="76">
        <v>2.97</v>
      </c>
      <c r="I98" s="6">
        <v>2.08</v>
      </c>
      <c r="J98" s="52" t="s">
        <v>26</v>
      </c>
      <c r="K98" s="49"/>
      <c r="L98" s="50">
        <f t="shared" si="4"/>
        <v>0</v>
      </c>
      <c r="M98" s="97"/>
      <c r="N98" s="97"/>
    </row>
    <row r="99" spans="1:14" ht="15" customHeight="1" x14ac:dyDescent="0.25">
      <c r="A99" s="104">
        <v>448472</v>
      </c>
      <c r="B99" s="91" t="s">
        <v>4342</v>
      </c>
      <c r="C99" s="47" t="s">
        <v>415</v>
      </c>
      <c r="D99" s="75" t="s">
        <v>958</v>
      </c>
      <c r="E99" s="75" t="s">
        <v>955</v>
      </c>
      <c r="F99" s="75" t="s">
        <v>1043</v>
      </c>
      <c r="G99" s="76">
        <v>7.49</v>
      </c>
      <c r="H99" s="76">
        <v>6.37</v>
      </c>
      <c r="I99" s="6">
        <v>4.46</v>
      </c>
      <c r="J99" s="52" t="s">
        <v>26</v>
      </c>
      <c r="K99" s="49"/>
      <c r="L99" s="50">
        <f t="shared" si="4"/>
        <v>0</v>
      </c>
      <c r="M99" s="97"/>
      <c r="N99" s="97"/>
    </row>
    <row r="100" spans="1:14" ht="15" customHeight="1" x14ac:dyDescent="0.25">
      <c r="A100" s="104">
        <v>449200</v>
      </c>
      <c r="B100" s="91" t="s">
        <v>4343</v>
      </c>
      <c r="C100" s="47" t="s">
        <v>436</v>
      </c>
      <c r="D100" s="75" t="s">
        <v>958</v>
      </c>
      <c r="E100" s="75" t="s">
        <v>955</v>
      </c>
      <c r="F100" s="75" t="s">
        <v>1043</v>
      </c>
      <c r="G100" s="76">
        <v>27.49</v>
      </c>
      <c r="H100" s="76">
        <v>23.37</v>
      </c>
      <c r="I100" s="6">
        <v>16.36</v>
      </c>
      <c r="J100" s="52" t="s">
        <v>26</v>
      </c>
      <c r="K100" s="49"/>
      <c r="L100" s="50">
        <f t="shared" si="4"/>
        <v>0</v>
      </c>
      <c r="M100" s="97"/>
      <c r="N100" s="97"/>
    </row>
    <row r="101" spans="1:14" ht="15" customHeight="1" x14ac:dyDescent="0.25">
      <c r="A101" s="104">
        <v>449201</v>
      </c>
      <c r="B101" s="91" t="s">
        <v>4344</v>
      </c>
      <c r="C101" s="47" t="s">
        <v>437</v>
      </c>
      <c r="D101" s="75" t="s">
        <v>958</v>
      </c>
      <c r="E101" s="75" t="s">
        <v>955</v>
      </c>
      <c r="F101" s="75" t="s">
        <v>1043</v>
      </c>
      <c r="G101" s="76">
        <v>27.49</v>
      </c>
      <c r="H101" s="76">
        <v>23.37</v>
      </c>
      <c r="I101" s="6">
        <v>16.36</v>
      </c>
      <c r="J101" s="52" t="s">
        <v>26</v>
      </c>
      <c r="K101" s="49"/>
      <c r="L101" s="50">
        <f t="shared" si="4"/>
        <v>0</v>
      </c>
      <c r="M101" s="97"/>
      <c r="N101" s="97"/>
    </row>
    <row r="102" spans="1:14" ht="15" customHeight="1" x14ac:dyDescent="0.25">
      <c r="A102" s="104">
        <v>448483</v>
      </c>
      <c r="B102" s="91" t="s">
        <v>4345</v>
      </c>
      <c r="C102" s="47" t="s">
        <v>737</v>
      </c>
      <c r="D102" s="75" t="s">
        <v>958</v>
      </c>
      <c r="E102" s="75" t="s">
        <v>955</v>
      </c>
      <c r="F102" s="75" t="s">
        <v>1043</v>
      </c>
      <c r="G102" s="76">
        <v>45.49</v>
      </c>
      <c r="H102" s="76">
        <v>38.67</v>
      </c>
      <c r="I102" s="6">
        <v>27.07</v>
      </c>
      <c r="J102" s="52" t="s">
        <v>26</v>
      </c>
      <c r="K102" s="49"/>
      <c r="L102" s="50">
        <f t="shared" si="4"/>
        <v>0</v>
      </c>
      <c r="M102" s="97"/>
      <c r="N102" s="97"/>
    </row>
    <row r="103" spans="1:14" ht="15" customHeight="1" x14ac:dyDescent="0.25">
      <c r="A103" s="104">
        <v>448859</v>
      </c>
      <c r="B103" s="91" t="s">
        <v>4346</v>
      </c>
      <c r="C103" s="47" t="s">
        <v>871</v>
      </c>
      <c r="D103" s="75" t="s">
        <v>958</v>
      </c>
      <c r="E103" s="75" t="s">
        <v>955</v>
      </c>
      <c r="F103" s="75" t="s">
        <v>1043</v>
      </c>
      <c r="G103" s="76">
        <v>135.49</v>
      </c>
      <c r="H103" s="76">
        <v>115.17</v>
      </c>
      <c r="I103" s="6">
        <v>80.62</v>
      </c>
      <c r="J103" s="52" t="s">
        <v>26</v>
      </c>
      <c r="K103" s="49"/>
      <c r="L103" s="50">
        <f t="shared" si="4"/>
        <v>0</v>
      </c>
      <c r="M103" s="97"/>
      <c r="N103" s="97"/>
    </row>
    <row r="104" spans="1:14" ht="15" customHeight="1" x14ac:dyDescent="0.25">
      <c r="A104" s="109" t="s">
        <v>738</v>
      </c>
      <c r="B104" s="110"/>
      <c r="C104" s="68"/>
      <c r="D104" s="68"/>
      <c r="E104" s="68"/>
      <c r="F104" s="68"/>
      <c r="G104" s="69"/>
      <c r="H104" s="69"/>
      <c r="I104" s="70"/>
      <c r="J104" s="74"/>
      <c r="K104" s="72"/>
      <c r="L104" s="73"/>
      <c r="N104"/>
    </row>
    <row r="105" spans="1:14" ht="15" customHeight="1" x14ac:dyDescent="0.25">
      <c r="A105" s="104">
        <v>448438</v>
      </c>
      <c r="B105" s="91" t="s">
        <v>4264</v>
      </c>
      <c r="C105" s="47" t="s">
        <v>360</v>
      </c>
      <c r="D105" s="75" t="s">
        <v>958</v>
      </c>
      <c r="E105" s="75" t="s">
        <v>955</v>
      </c>
      <c r="F105" s="75" t="s">
        <v>1043</v>
      </c>
      <c r="G105" s="76">
        <v>2.4900000000000002</v>
      </c>
      <c r="H105" s="76">
        <v>2.12</v>
      </c>
      <c r="I105" s="6">
        <v>1.48</v>
      </c>
      <c r="J105" s="52" t="s">
        <v>26</v>
      </c>
      <c r="K105" s="49"/>
      <c r="L105" s="50">
        <f t="shared" ref="L105:L112" si="5">K105*I105</f>
        <v>0</v>
      </c>
      <c r="M105" s="97"/>
      <c r="N105" s="97"/>
    </row>
    <row r="106" spans="1:14" ht="15" customHeight="1" x14ac:dyDescent="0.25">
      <c r="A106" s="104">
        <v>448804</v>
      </c>
      <c r="B106" s="91" t="s">
        <v>4347</v>
      </c>
      <c r="C106" s="47" t="s">
        <v>421</v>
      </c>
      <c r="D106" s="75" t="s">
        <v>958</v>
      </c>
      <c r="E106" s="75" t="s">
        <v>955</v>
      </c>
      <c r="F106" s="75" t="s">
        <v>1043</v>
      </c>
      <c r="G106" s="76">
        <v>60.49</v>
      </c>
      <c r="H106" s="76">
        <v>51.42</v>
      </c>
      <c r="I106" s="6">
        <v>35.99</v>
      </c>
      <c r="J106" s="52" t="s">
        <v>26</v>
      </c>
      <c r="K106" s="49"/>
      <c r="L106" s="50">
        <f t="shared" si="5"/>
        <v>0</v>
      </c>
      <c r="M106" s="97"/>
      <c r="N106" s="97"/>
    </row>
    <row r="107" spans="1:14" ht="15" customHeight="1" x14ac:dyDescent="0.25">
      <c r="A107" s="104">
        <v>448455</v>
      </c>
      <c r="B107" s="91" t="s">
        <v>4348</v>
      </c>
      <c r="C107" s="47" t="s">
        <v>422</v>
      </c>
      <c r="D107" s="75" t="s">
        <v>958</v>
      </c>
      <c r="E107" s="75" t="s">
        <v>955</v>
      </c>
      <c r="F107" s="75" t="s">
        <v>1043</v>
      </c>
      <c r="G107" s="76">
        <v>3.49</v>
      </c>
      <c r="H107" s="76">
        <v>2.97</v>
      </c>
      <c r="I107" s="6">
        <v>2.08</v>
      </c>
      <c r="J107" s="52" t="s">
        <v>26</v>
      </c>
      <c r="K107" s="49"/>
      <c r="L107" s="50">
        <f t="shared" si="5"/>
        <v>0</v>
      </c>
      <c r="M107" s="97"/>
      <c r="N107" s="97"/>
    </row>
    <row r="108" spans="1:14" ht="15" customHeight="1" x14ac:dyDescent="0.25">
      <c r="A108" s="104">
        <v>448456</v>
      </c>
      <c r="B108" s="91" t="s">
        <v>4349</v>
      </c>
      <c r="C108" s="47" t="s">
        <v>422</v>
      </c>
      <c r="D108" s="75" t="s">
        <v>958</v>
      </c>
      <c r="E108" s="75" t="s">
        <v>955</v>
      </c>
      <c r="F108" s="75" t="s">
        <v>1043</v>
      </c>
      <c r="G108" s="76">
        <v>3.49</v>
      </c>
      <c r="H108" s="76">
        <v>2.97</v>
      </c>
      <c r="I108" s="6">
        <v>2.08</v>
      </c>
      <c r="J108" s="52" t="s">
        <v>26</v>
      </c>
      <c r="K108" s="49"/>
      <c r="L108" s="50">
        <f t="shared" si="5"/>
        <v>0</v>
      </c>
      <c r="M108" s="97"/>
      <c r="N108" s="97"/>
    </row>
    <row r="109" spans="1:14" ht="15" customHeight="1" x14ac:dyDescent="0.25">
      <c r="A109" s="104">
        <v>448817</v>
      </c>
      <c r="B109" s="91" t="s">
        <v>4350</v>
      </c>
      <c r="C109" s="47" t="s">
        <v>739</v>
      </c>
      <c r="D109" s="75" t="s">
        <v>958</v>
      </c>
      <c r="E109" s="75" t="s">
        <v>955</v>
      </c>
      <c r="F109" s="75" t="s">
        <v>1043</v>
      </c>
      <c r="G109" s="76">
        <v>37.99</v>
      </c>
      <c r="H109" s="76">
        <v>32.29</v>
      </c>
      <c r="I109" s="6">
        <v>22.6</v>
      </c>
      <c r="J109" s="52" t="s">
        <v>26</v>
      </c>
      <c r="K109" s="49"/>
      <c r="L109" s="50">
        <f t="shared" si="5"/>
        <v>0</v>
      </c>
      <c r="M109" s="97"/>
      <c r="N109" s="97"/>
    </row>
    <row r="110" spans="1:14" ht="15" customHeight="1" x14ac:dyDescent="0.25">
      <c r="A110" s="104">
        <v>449118</v>
      </c>
      <c r="B110" s="91" t="s">
        <v>4351</v>
      </c>
      <c r="C110" s="47" t="s">
        <v>423</v>
      </c>
      <c r="D110" s="75" t="s">
        <v>958</v>
      </c>
      <c r="E110" s="75" t="s">
        <v>955</v>
      </c>
      <c r="F110" s="75" t="s">
        <v>1043</v>
      </c>
      <c r="G110" s="76">
        <v>7.99</v>
      </c>
      <c r="H110" s="76">
        <v>6.79</v>
      </c>
      <c r="I110" s="6">
        <v>4.75</v>
      </c>
      <c r="J110" s="52" t="s">
        <v>26</v>
      </c>
      <c r="K110" s="49"/>
      <c r="L110" s="50">
        <f t="shared" si="5"/>
        <v>0</v>
      </c>
      <c r="M110" s="97"/>
      <c r="N110" s="97"/>
    </row>
    <row r="111" spans="1:14" ht="15" customHeight="1" x14ac:dyDescent="0.25">
      <c r="A111" s="104">
        <v>448845</v>
      </c>
      <c r="B111" s="91" t="s">
        <v>4352</v>
      </c>
      <c r="C111" s="47" t="s">
        <v>435</v>
      </c>
      <c r="D111" s="75" t="s">
        <v>958</v>
      </c>
      <c r="E111" s="75" t="s">
        <v>955</v>
      </c>
      <c r="F111" s="75" t="s">
        <v>1043</v>
      </c>
      <c r="G111" s="76">
        <v>142.99</v>
      </c>
      <c r="H111" s="76">
        <v>121.54</v>
      </c>
      <c r="I111" s="6">
        <v>85.08</v>
      </c>
      <c r="J111" s="52" t="s">
        <v>26</v>
      </c>
      <c r="K111" s="49"/>
      <c r="L111" s="50">
        <f t="shared" si="5"/>
        <v>0</v>
      </c>
      <c r="M111" s="97"/>
      <c r="N111" s="97"/>
    </row>
    <row r="112" spans="1:14" ht="15" customHeight="1" x14ac:dyDescent="0.25">
      <c r="A112" s="104">
        <v>448907</v>
      </c>
      <c r="B112" s="91" t="s">
        <v>4353</v>
      </c>
      <c r="C112" s="47" t="s">
        <v>446</v>
      </c>
      <c r="D112" s="75" t="s">
        <v>958</v>
      </c>
      <c r="E112" s="75" t="s">
        <v>955</v>
      </c>
      <c r="F112" s="75" t="s">
        <v>1043</v>
      </c>
      <c r="G112" s="76">
        <v>7.99</v>
      </c>
      <c r="H112" s="76">
        <v>6.79</v>
      </c>
      <c r="I112" s="6">
        <v>4.75</v>
      </c>
      <c r="J112" s="52" t="s">
        <v>26</v>
      </c>
      <c r="K112" s="49"/>
      <c r="L112" s="50">
        <f t="shared" si="5"/>
        <v>0</v>
      </c>
      <c r="M112" s="97"/>
      <c r="N112" s="97"/>
    </row>
    <row r="113" spans="1:14" ht="15" customHeight="1" x14ac:dyDescent="0.25">
      <c r="A113" s="109" t="s">
        <v>740</v>
      </c>
      <c r="B113" s="110"/>
      <c r="C113" s="68"/>
      <c r="D113" s="68"/>
      <c r="E113" s="68"/>
      <c r="F113" s="68"/>
      <c r="G113" s="69"/>
      <c r="H113" s="69"/>
      <c r="I113" s="70"/>
      <c r="J113" s="74"/>
      <c r="K113" s="72"/>
      <c r="L113" s="73"/>
      <c r="N113"/>
    </row>
    <row r="114" spans="1:14" ht="15" customHeight="1" x14ac:dyDescent="0.25">
      <c r="A114" s="104">
        <v>449038</v>
      </c>
      <c r="B114" s="91" t="s">
        <v>4354</v>
      </c>
      <c r="C114" s="47" t="s">
        <v>402</v>
      </c>
      <c r="D114" s="75" t="s">
        <v>958</v>
      </c>
      <c r="E114" s="75" t="s">
        <v>955</v>
      </c>
      <c r="F114" s="75" t="s">
        <v>1043</v>
      </c>
      <c r="G114" s="76">
        <v>2.4900000000000002</v>
      </c>
      <c r="H114" s="76">
        <v>2.12</v>
      </c>
      <c r="I114" s="6">
        <v>1.48</v>
      </c>
      <c r="J114" s="52" t="s">
        <v>26</v>
      </c>
      <c r="K114" s="49"/>
      <c r="L114" s="50">
        <f>K114*I114</f>
        <v>0</v>
      </c>
      <c r="M114" s="97"/>
      <c r="N114" s="97"/>
    </row>
    <row r="115" spans="1:14" ht="15" customHeight="1" x14ac:dyDescent="0.25">
      <c r="A115" s="109" t="s">
        <v>741</v>
      </c>
      <c r="B115" s="110"/>
      <c r="C115" s="68"/>
      <c r="D115" s="68"/>
      <c r="E115" s="68"/>
      <c r="F115" s="68"/>
      <c r="G115" s="69"/>
      <c r="H115" s="69"/>
      <c r="I115" s="70"/>
      <c r="J115" s="74"/>
      <c r="K115" s="72"/>
      <c r="L115" s="73"/>
      <c r="N115"/>
    </row>
    <row r="116" spans="1:14" ht="15" customHeight="1" x14ac:dyDescent="0.25">
      <c r="A116" s="104">
        <v>448663</v>
      </c>
      <c r="B116" s="91" t="s">
        <v>4355</v>
      </c>
      <c r="C116" s="47" t="s">
        <v>386</v>
      </c>
      <c r="D116" s="75" t="s">
        <v>958</v>
      </c>
      <c r="E116" s="75" t="s">
        <v>955</v>
      </c>
      <c r="F116" s="75" t="s">
        <v>1043</v>
      </c>
      <c r="G116" s="76">
        <v>18.489999999999998</v>
      </c>
      <c r="H116" s="76">
        <v>15.72</v>
      </c>
      <c r="I116" s="6">
        <v>11</v>
      </c>
      <c r="J116" s="52" t="s">
        <v>26</v>
      </c>
      <c r="K116" s="49"/>
      <c r="L116" s="50">
        <f>K116*I116</f>
        <v>0</v>
      </c>
      <c r="M116" s="97"/>
      <c r="N116" s="97"/>
    </row>
    <row r="117" spans="1:14" ht="15" customHeight="1" x14ac:dyDescent="0.25">
      <c r="A117" s="104">
        <v>448690</v>
      </c>
      <c r="B117" s="91" t="s">
        <v>4356</v>
      </c>
      <c r="C117" s="47" t="s">
        <v>404</v>
      </c>
      <c r="D117" s="75" t="s">
        <v>958</v>
      </c>
      <c r="E117" s="75" t="s">
        <v>955</v>
      </c>
      <c r="F117" s="75" t="s">
        <v>1043</v>
      </c>
      <c r="G117" s="76">
        <v>19.989999999999998</v>
      </c>
      <c r="H117" s="76">
        <v>16.989999999999998</v>
      </c>
      <c r="I117" s="6">
        <v>11.89</v>
      </c>
      <c r="J117" s="52" t="s">
        <v>26</v>
      </c>
      <c r="K117" s="49"/>
      <c r="L117" s="50">
        <f>K117*I117</f>
        <v>0</v>
      </c>
      <c r="M117" s="97"/>
      <c r="N117" s="97"/>
    </row>
    <row r="118" spans="1:14" ht="15" customHeight="1" x14ac:dyDescent="0.25">
      <c r="A118" s="104">
        <v>448714</v>
      </c>
      <c r="B118" s="91" t="s">
        <v>4357</v>
      </c>
      <c r="C118" s="47" t="s">
        <v>411</v>
      </c>
      <c r="D118" s="75" t="s">
        <v>958</v>
      </c>
      <c r="E118" s="75" t="s">
        <v>955</v>
      </c>
      <c r="F118" s="75" t="s">
        <v>1043</v>
      </c>
      <c r="G118" s="76">
        <v>25.99</v>
      </c>
      <c r="H118" s="76">
        <v>22.09</v>
      </c>
      <c r="I118" s="6">
        <v>15.46</v>
      </c>
      <c r="J118" s="52" t="s">
        <v>26</v>
      </c>
      <c r="K118" s="49"/>
      <c r="L118" s="50">
        <f>K118*I118</f>
        <v>0</v>
      </c>
      <c r="M118" s="97"/>
      <c r="N118" s="97"/>
    </row>
    <row r="119" spans="1:14" ht="15" customHeight="1" x14ac:dyDescent="0.25">
      <c r="A119" s="104">
        <v>448719</v>
      </c>
      <c r="B119" s="91" t="s">
        <v>4358</v>
      </c>
      <c r="C119" s="47" t="s">
        <v>412</v>
      </c>
      <c r="D119" s="75" t="s">
        <v>958</v>
      </c>
      <c r="E119" s="75" t="s">
        <v>955</v>
      </c>
      <c r="F119" s="75" t="s">
        <v>1043</v>
      </c>
      <c r="G119" s="76">
        <v>15.49</v>
      </c>
      <c r="H119" s="76">
        <v>13.17</v>
      </c>
      <c r="I119" s="6">
        <v>9.2200000000000006</v>
      </c>
      <c r="J119" s="52" t="s">
        <v>26</v>
      </c>
      <c r="K119" s="49"/>
      <c r="L119" s="50">
        <f>K119*I119</f>
        <v>0</v>
      </c>
      <c r="M119" s="97"/>
      <c r="N119" s="97"/>
    </row>
    <row r="120" spans="1:14" ht="15" customHeight="1" x14ac:dyDescent="0.25">
      <c r="A120" s="109" t="s">
        <v>742</v>
      </c>
      <c r="B120" s="110"/>
      <c r="C120" s="68"/>
      <c r="D120" s="68"/>
      <c r="E120" s="68"/>
      <c r="F120" s="68"/>
      <c r="G120" s="69"/>
      <c r="H120" s="69"/>
      <c r="I120" s="70"/>
      <c r="J120" s="74"/>
      <c r="K120" s="72"/>
      <c r="L120" s="73"/>
      <c r="N120"/>
    </row>
    <row r="121" spans="1:14" ht="15" customHeight="1" x14ac:dyDescent="0.25">
      <c r="A121" s="104">
        <v>448912</v>
      </c>
      <c r="B121" s="82" t="s">
        <v>331</v>
      </c>
      <c r="C121" s="47" t="s">
        <v>332</v>
      </c>
      <c r="D121" s="75" t="s">
        <v>922</v>
      </c>
      <c r="E121" s="75" t="s">
        <v>955</v>
      </c>
      <c r="F121" s="75" t="s">
        <v>1043</v>
      </c>
      <c r="G121" s="76">
        <v>9.49</v>
      </c>
      <c r="H121" s="76">
        <v>8.07</v>
      </c>
      <c r="I121" s="6">
        <v>5.65</v>
      </c>
      <c r="J121" s="48" t="s">
        <v>26</v>
      </c>
      <c r="K121" s="49"/>
      <c r="L121" s="50">
        <f t="shared" ref="L121:L132" si="6">K121*I121</f>
        <v>0</v>
      </c>
      <c r="M121" s="97"/>
      <c r="N121" s="97"/>
    </row>
    <row r="122" spans="1:14" ht="15" customHeight="1" x14ac:dyDescent="0.25">
      <c r="A122" s="104">
        <v>448913</v>
      </c>
      <c r="B122" s="82" t="s">
        <v>333</v>
      </c>
      <c r="C122" s="47" t="s">
        <v>334</v>
      </c>
      <c r="D122" s="75" t="s">
        <v>922</v>
      </c>
      <c r="E122" s="75" t="s">
        <v>955</v>
      </c>
      <c r="F122" s="75" t="s">
        <v>1043</v>
      </c>
      <c r="G122" s="76">
        <v>42.49</v>
      </c>
      <c r="H122" s="76">
        <v>36.119999999999997</v>
      </c>
      <c r="I122" s="6">
        <v>25.28</v>
      </c>
      <c r="J122" s="48" t="s">
        <v>26</v>
      </c>
      <c r="K122" s="49"/>
      <c r="L122" s="50">
        <f t="shared" si="6"/>
        <v>0</v>
      </c>
      <c r="M122" s="97"/>
      <c r="N122" s="97"/>
    </row>
    <row r="123" spans="1:14" ht="15" customHeight="1" x14ac:dyDescent="0.25">
      <c r="A123" s="104">
        <v>449183</v>
      </c>
      <c r="B123" s="82" t="s">
        <v>335</v>
      </c>
      <c r="C123" s="47" t="s">
        <v>336</v>
      </c>
      <c r="D123" s="75" t="s">
        <v>922</v>
      </c>
      <c r="E123" s="75" t="s">
        <v>955</v>
      </c>
      <c r="F123" s="75" t="s">
        <v>1043</v>
      </c>
      <c r="G123" s="76">
        <v>2.4900000000000002</v>
      </c>
      <c r="H123" s="76">
        <v>2.12</v>
      </c>
      <c r="I123" s="6">
        <v>1.48</v>
      </c>
      <c r="J123" s="48" t="s">
        <v>26</v>
      </c>
      <c r="K123" s="49"/>
      <c r="L123" s="50">
        <f t="shared" si="6"/>
        <v>0</v>
      </c>
      <c r="M123" s="97"/>
      <c r="N123" s="97"/>
    </row>
    <row r="124" spans="1:14" ht="15" customHeight="1" x14ac:dyDescent="0.25">
      <c r="A124" s="104">
        <v>448516</v>
      </c>
      <c r="B124" s="82" t="s">
        <v>337</v>
      </c>
      <c r="C124" s="47" t="s">
        <v>338</v>
      </c>
      <c r="D124" s="75" t="s">
        <v>922</v>
      </c>
      <c r="E124" s="75" t="s">
        <v>955</v>
      </c>
      <c r="F124" s="75" t="s">
        <v>1043</v>
      </c>
      <c r="G124" s="76">
        <v>30.49</v>
      </c>
      <c r="H124" s="76">
        <v>25.92</v>
      </c>
      <c r="I124" s="6">
        <v>18.14</v>
      </c>
      <c r="J124" s="48" t="s">
        <v>26</v>
      </c>
      <c r="K124" s="49"/>
      <c r="L124" s="50">
        <f t="shared" si="6"/>
        <v>0</v>
      </c>
      <c r="M124" s="97"/>
      <c r="N124" s="97"/>
    </row>
    <row r="125" spans="1:14" ht="15" customHeight="1" x14ac:dyDescent="0.25">
      <c r="A125" s="104">
        <v>449166</v>
      </c>
      <c r="B125" s="82" t="s">
        <v>339</v>
      </c>
      <c r="C125" s="47" t="s">
        <v>340</v>
      </c>
      <c r="D125" s="75" t="s">
        <v>922</v>
      </c>
      <c r="E125" s="75" t="s">
        <v>955</v>
      </c>
      <c r="F125" s="75" t="s">
        <v>1043</v>
      </c>
      <c r="G125" s="76">
        <v>1.99</v>
      </c>
      <c r="H125" s="76">
        <v>1.69</v>
      </c>
      <c r="I125" s="6">
        <v>1.18</v>
      </c>
      <c r="J125" s="48" t="s">
        <v>26</v>
      </c>
      <c r="K125" s="49"/>
      <c r="L125" s="50">
        <f t="shared" si="6"/>
        <v>0</v>
      </c>
      <c r="M125" s="97"/>
      <c r="N125" s="97"/>
    </row>
    <row r="126" spans="1:14" ht="15" customHeight="1" x14ac:dyDescent="0.25">
      <c r="A126" s="104">
        <v>448920</v>
      </c>
      <c r="B126" s="82" t="s">
        <v>341</v>
      </c>
      <c r="C126" s="47" t="s">
        <v>342</v>
      </c>
      <c r="D126" s="75" t="s">
        <v>922</v>
      </c>
      <c r="E126" s="75" t="s">
        <v>955</v>
      </c>
      <c r="F126" s="75" t="s">
        <v>1043</v>
      </c>
      <c r="G126" s="76">
        <v>22.99</v>
      </c>
      <c r="H126" s="76">
        <v>19.54</v>
      </c>
      <c r="I126" s="6">
        <v>13.68</v>
      </c>
      <c r="J126" s="48" t="s">
        <v>26</v>
      </c>
      <c r="K126" s="49"/>
      <c r="L126" s="50">
        <f t="shared" si="6"/>
        <v>0</v>
      </c>
      <c r="M126" s="97"/>
      <c r="N126" s="97"/>
    </row>
    <row r="127" spans="1:14" ht="15" customHeight="1" x14ac:dyDescent="0.25">
      <c r="A127" s="104">
        <v>448921</v>
      </c>
      <c r="B127" s="82" t="s">
        <v>343</v>
      </c>
      <c r="C127" s="47" t="s">
        <v>872</v>
      </c>
      <c r="D127" s="75" t="s">
        <v>922</v>
      </c>
      <c r="E127" s="75" t="s">
        <v>955</v>
      </c>
      <c r="F127" s="75" t="s">
        <v>1043</v>
      </c>
      <c r="G127" s="76">
        <v>30.49</v>
      </c>
      <c r="H127" s="76">
        <v>25.92</v>
      </c>
      <c r="I127" s="6">
        <v>18.14</v>
      </c>
      <c r="J127" s="48" t="s">
        <v>26</v>
      </c>
      <c r="K127" s="49"/>
      <c r="L127" s="50">
        <f t="shared" si="6"/>
        <v>0</v>
      </c>
      <c r="M127" s="97"/>
      <c r="N127" s="97"/>
    </row>
    <row r="128" spans="1:14" ht="15" customHeight="1" x14ac:dyDescent="0.25">
      <c r="A128" s="104">
        <v>449208</v>
      </c>
      <c r="B128" s="82" t="s">
        <v>344</v>
      </c>
      <c r="C128" s="47" t="s">
        <v>345</v>
      </c>
      <c r="D128" s="75" t="s">
        <v>922</v>
      </c>
      <c r="E128" s="75" t="s">
        <v>955</v>
      </c>
      <c r="F128" s="75" t="s">
        <v>1043</v>
      </c>
      <c r="G128" s="76">
        <v>150.49</v>
      </c>
      <c r="H128" s="76">
        <v>127.92</v>
      </c>
      <c r="I128" s="6">
        <v>89.54</v>
      </c>
      <c r="J128" s="48" t="s">
        <v>26</v>
      </c>
      <c r="K128" s="49"/>
      <c r="L128" s="50">
        <f t="shared" si="6"/>
        <v>0</v>
      </c>
      <c r="M128" s="97"/>
      <c r="N128" s="97"/>
    </row>
    <row r="129" spans="1:14" ht="15" customHeight="1" x14ac:dyDescent="0.25">
      <c r="A129" s="104">
        <v>448492</v>
      </c>
      <c r="B129" s="82" t="s">
        <v>346</v>
      </c>
      <c r="C129" s="47" t="s">
        <v>347</v>
      </c>
      <c r="D129" s="75" t="s">
        <v>922</v>
      </c>
      <c r="E129" s="75" t="s">
        <v>955</v>
      </c>
      <c r="F129" s="75" t="s">
        <v>1043</v>
      </c>
      <c r="G129" s="76">
        <v>135.49</v>
      </c>
      <c r="H129" s="76">
        <v>115.17</v>
      </c>
      <c r="I129" s="6">
        <v>80.62</v>
      </c>
      <c r="J129" s="48" t="s">
        <v>26</v>
      </c>
      <c r="K129" s="49"/>
      <c r="L129" s="50">
        <f t="shared" si="6"/>
        <v>0</v>
      </c>
      <c r="M129" s="97"/>
      <c r="N129" s="97"/>
    </row>
    <row r="130" spans="1:14" ht="15" customHeight="1" x14ac:dyDescent="0.25">
      <c r="A130" s="104">
        <v>448922</v>
      </c>
      <c r="B130" s="82" t="s">
        <v>348</v>
      </c>
      <c r="C130" s="47" t="s">
        <v>349</v>
      </c>
      <c r="D130" s="75" t="s">
        <v>922</v>
      </c>
      <c r="E130" s="75" t="s">
        <v>955</v>
      </c>
      <c r="F130" s="75" t="s">
        <v>1043</v>
      </c>
      <c r="G130" s="76">
        <v>300.49</v>
      </c>
      <c r="H130" s="76">
        <v>255.42</v>
      </c>
      <c r="I130" s="6">
        <v>178.79</v>
      </c>
      <c r="J130" s="48" t="s">
        <v>26</v>
      </c>
      <c r="K130" s="49"/>
      <c r="L130" s="50">
        <f t="shared" si="6"/>
        <v>0</v>
      </c>
      <c r="M130" s="97"/>
      <c r="N130" s="97"/>
    </row>
    <row r="131" spans="1:14" ht="15" customHeight="1" x14ac:dyDescent="0.25">
      <c r="A131" s="104">
        <v>448923</v>
      </c>
      <c r="B131" s="82" t="s">
        <v>350</v>
      </c>
      <c r="C131" s="47" t="s">
        <v>351</v>
      </c>
      <c r="D131" s="75" t="s">
        <v>922</v>
      </c>
      <c r="E131" s="75" t="s">
        <v>955</v>
      </c>
      <c r="F131" s="75" t="s">
        <v>1043</v>
      </c>
      <c r="G131" s="76">
        <v>412.99</v>
      </c>
      <c r="H131" s="76">
        <v>351.04</v>
      </c>
      <c r="I131" s="6">
        <v>245.73</v>
      </c>
      <c r="J131" s="48" t="s">
        <v>26</v>
      </c>
      <c r="K131" s="49"/>
      <c r="L131" s="50">
        <f t="shared" si="6"/>
        <v>0</v>
      </c>
      <c r="M131" s="97"/>
      <c r="N131" s="97"/>
    </row>
    <row r="132" spans="1:14" ht="15" customHeight="1" thickBot="1" x14ac:dyDescent="0.3">
      <c r="A132" s="104">
        <v>448512</v>
      </c>
      <c r="B132" s="91" t="s">
        <v>4304</v>
      </c>
      <c r="C132" s="47" t="s">
        <v>441</v>
      </c>
      <c r="D132" s="75" t="s">
        <v>958</v>
      </c>
      <c r="E132" s="75" t="s">
        <v>955</v>
      </c>
      <c r="F132" s="75" t="s">
        <v>1043</v>
      </c>
      <c r="G132" s="76">
        <v>30.49</v>
      </c>
      <c r="H132" s="76">
        <v>25.92</v>
      </c>
      <c r="I132" s="6">
        <v>18.14</v>
      </c>
      <c r="J132" s="52" t="s">
        <v>26</v>
      </c>
      <c r="K132" s="49"/>
      <c r="L132" s="50">
        <f t="shared" si="6"/>
        <v>0</v>
      </c>
      <c r="M132" s="97"/>
      <c r="N132" s="97"/>
    </row>
    <row r="133" spans="1:14" ht="15" customHeight="1" thickBot="1" x14ac:dyDescent="0.3">
      <c r="A133" s="10"/>
      <c r="B133" s="11"/>
      <c r="C133" s="11"/>
      <c r="D133" s="11"/>
      <c r="E133" s="11"/>
      <c r="F133" s="11"/>
      <c r="G133" s="11"/>
      <c r="H133" s="11"/>
      <c r="I133" s="56"/>
      <c r="J133" s="57" t="s">
        <v>447</v>
      </c>
      <c r="K133" s="58">
        <f>SUM(K10:K132)</f>
        <v>0</v>
      </c>
      <c r="L133" s="13">
        <f>SUM(L10:L132)</f>
        <v>0</v>
      </c>
      <c r="N133"/>
    </row>
    <row r="134" spans="1:14" ht="15" customHeight="1" x14ac:dyDescent="0.25">
      <c r="A134" s="54"/>
    </row>
  </sheetData>
  <sheetProtection algorithmName="SHA-512" hashValue="fD/p3htSElk+fMD8vp8bf71PZrPO/2hHx9UgFQ7o9UhhJ+0pWkfFfm3lqETv+Ide88xZBY0Smr1/sMRrIcJgpw==" saltValue="1y7oe8uXAZWDNdNs9x5NNg==" spinCount="100000" sheet="1" selectLockedCells="1"/>
  <mergeCells count="12">
    <mergeCell ref="F1:H1"/>
    <mergeCell ref="A5:C5"/>
    <mergeCell ref="A6:C6"/>
    <mergeCell ref="A104:B104"/>
    <mergeCell ref="A113:B113"/>
    <mergeCell ref="A115:B115"/>
    <mergeCell ref="A120:B120"/>
    <mergeCell ref="A9:B9"/>
    <mergeCell ref="A39:B39"/>
    <mergeCell ref="A59:B59"/>
    <mergeCell ref="A81:B81"/>
    <mergeCell ref="A96:B96"/>
  </mergeCells>
  <conditionalFormatting sqref="K9:K132">
    <cfRule type="expression" dxfId="0" priority="1">
      <formula>MOD(K9,#REF!)&lt;&gt;0</formula>
    </cfRule>
  </conditionalFormatting>
  <pageMargins left="0.7" right="0.7" top="0.75" bottom="0.75" header="0.3" footer="0.3"/>
  <pageSetup scale="71" fitToHeight="0" orientation="portrait" r:id="rId1"/>
  <headerFoot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4712-7065-4B72-A3D6-134788BDB0C4}">
  <sheetPr>
    <pageSetUpPr fitToPage="1"/>
  </sheetPr>
  <dimension ref="A1:O75"/>
  <sheetViews>
    <sheetView zoomScaleNormal="100" workbookViewId="0">
      <pane ySplit="8" topLeftCell="A9" activePane="bottomLeft" state="frozen"/>
      <selection pane="bottomLeft" activeCell="K9" sqref="K9"/>
    </sheetView>
  </sheetViews>
  <sheetFormatPr defaultColWidth="8.7109375" defaultRowHeight="15" x14ac:dyDescent="0.25"/>
  <cols>
    <col min="1" max="2" width="10.140625" customWidth="1"/>
    <col min="3" max="3" width="33.28515625" customWidth="1"/>
    <col min="4" max="4" width="9.28515625" customWidth="1"/>
    <col min="5" max="5" width="17.42578125" customWidth="1"/>
    <col min="6" max="6" width="13.85546875" customWidth="1"/>
    <col min="7" max="7" width="13.28515625" customWidth="1"/>
    <col min="8" max="8" width="11.5703125" customWidth="1"/>
    <col min="9" max="9" width="13.140625" customWidth="1"/>
    <col min="10" max="10" width="12.42578125" customWidth="1"/>
    <col min="11" max="11" width="16.140625" bestFit="1" customWidth="1"/>
    <col min="12" max="12" width="17.42578125" customWidth="1"/>
    <col min="14" max="14" width="12.7109375" bestFit="1" customWidth="1"/>
  </cols>
  <sheetData>
    <row r="1" spans="1:15" x14ac:dyDescent="0.25">
      <c r="A1" s="25"/>
      <c r="B1" s="25"/>
      <c r="C1" s="25"/>
      <c r="D1" s="25"/>
      <c r="E1" s="25"/>
      <c r="F1" s="111" t="s">
        <v>17</v>
      </c>
      <c r="G1" s="111"/>
      <c r="H1" s="111"/>
      <c r="I1" s="25"/>
      <c r="J1" s="25"/>
      <c r="K1" s="25"/>
      <c r="L1" s="25"/>
    </row>
    <row r="2" spans="1:15" ht="3.75" customHeight="1" x14ac:dyDescent="0.25">
      <c r="A2" s="25"/>
      <c r="B2" s="27"/>
      <c r="C2" s="27"/>
      <c r="D2" s="27"/>
      <c r="E2" s="27"/>
      <c r="F2" s="27"/>
      <c r="G2" s="27"/>
      <c r="H2" s="25"/>
      <c r="I2" s="27"/>
      <c r="J2" s="25"/>
      <c r="K2" s="25"/>
      <c r="L2" s="25"/>
    </row>
    <row r="3" spans="1:15" x14ac:dyDescent="0.25">
      <c r="A3" s="28" t="s">
        <v>0</v>
      </c>
      <c r="B3" s="105"/>
      <c r="C3" s="31">
        <f>'Order Summary'!B3</f>
        <v>0</v>
      </c>
      <c r="D3" s="79"/>
      <c r="E3" s="79"/>
      <c r="F3" s="26"/>
      <c r="G3" s="26"/>
      <c r="H3" s="29"/>
      <c r="I3" s="79"/>
      <c r="J3" s="28" t="s">
        <v>1</v>
      </c>
      <c r="K3" s="105"/>
      <c r="L3" s="102">
        <f>'Order Summary'!F3</f>
        <v>0</v>
      </c>
    </row>
    <row r="4" spans="1:15" x14ac:dyDescent="0.25">
      <c r="A4" s="30" t="s">
        <v>2</v>
      </c>
      <c r="B4" s="105"/>
      <c r="C4" s="33">
        <f>'Order Summary'!B4</f>
        <v>0</v>
      </c>
      <c r="D4" s="79"/>
      <c r="E4" s="79"/>
      <c r="F4" s="26"/>
      <c r="G4" s="26"/>
      <c r="H4" s="29"/>
      <c r="I4" s="79"/>
      <c r="J4" s="28" t="s">
        <v>3</v>
      </c>
      <c r="K4" s="105"/>
      <c r="L4" s="101">
        <f>'Order Summary'!F4</f>
        <v>0</v>
      </c>
    </row>
    <row r="5" spans="1:15" x14ac:dyDescent="0.25">
      <c r="A5" s="108">
        <f>'Order Summary'!B5</f>
        <v>0</v>
      </c>
      <c r="B5" s="112"/>
      <c r="C5" s="108"/>
      <c r="D5" s="79"/>
      <c r="E5" s="79"/>
      <c r="F5" s="26"/>
      <c r="G5" s="26"/>
      <c r="H5" s="25"/>
      <c r="I5" s="79"/>
      <c r="J5" s="28" t="s">
        <v>4</v>
      </c>
      <c r="K5" s="105"/>
      <c r="L5" s="103">
        <f>'Order Summary'!F5</f>
        <v>0</v>
      </c>
    </row>
    <row r="6" spans="1:15" x14ac:dyDescent="0.25">
      <c r="A6" s="108">
        <f>'Order Summary'!B6</f>
        <v>0</v>
      </c>
      <c r="B6" s="108"/>
      <c r="C6" s="108"/>
      <c r="D6" s="79"/>
      <c r="E6" s="79"/>
      <c r="F6" s="26"/>
      <c r="G6" s="26"/>
      <c r="H6" s="25"/>
      <c r="I6" s="79"/>
      <c r="J6" s="28" t="s">
        <v>5</v>
      </c>
      <c r="K6" s="105"/>
      <c r="L6" s="33">
        <f>'Order Summary'!F6</f>
        <v>0</v>
      </c>
    </row>
    <row r="7" spans="1:15" ht="15.75" x14ac:dyDescent="0.25">
      <c r="A7" s="46" t="s">
        <v>330</v>
      </c>
      <c r="B7" s="14"/>
      <c r="I7" s="14"/>
      <c r="J7" s="14"/>
      <c r="K7" s="14"/>
    </row>
    <row r="8" spans="1:15" x14ac:dyDescent="0.25">
      <c r="A8" s="1" t="s">
        <v>19</v>
      </c>
      <c r="B8" s="1" t="s">
        <v>4385</v>
      </c>
      <c r="C8" s="1" t="s">
        <v>20</v>
      </c>
      <c r="D8" s="1" t="s">
        <v>918</v>
      </c>
      <c r="E8" s="1" t="s">
        <v>919</v>
      </c>
      <c r="F8" s="1" t="s">
        <v>920</v>
      </c>
      <c r="G8" s="2" t="s">
        <v>21</v>
      </c>
      <c r="H8" s="2" t="s">
        <v>1717</v>
      </c>
      <c r="I8" s="3" t="s">
        <v>22</v>
      </c>
      <c r="J8" s="15" t="s">
        <v>23</v>
      </c>
      <c r="K8" s="15" t="s">
        <v>6</v>
      </c>
      <c r="L8" s="15" t="s">
        <v>7</v>
      </c>
    </row>
    <row r="9" spans="1:15" x14ac:dyDescent="0.25">
      <c r="A9" s="104">
        <v>449578</v>
      </c>
      <c r="B9" s="4" t="s">
        <v>1341</v>
      </c>
      <c r="C9" s="16" t="s">
        <v>1342</v>
      </c>
      <c r="D9" s="75" t="str">
        <f>_xlfn.XLOOKUP(B9,'Product Hierarchy'!A:A,'Product Hierarchy'!C:C)</f>
        <v>LEVEL5</v>
      </c>
      <c r="E9" s="75" t="str">
        <f>_xlfn.XLOOKUP(B9,'Product Hierarchy'!A:A,'Product Hierarchy'!E:E)</f>
        <v>Drywall Auto Tools</v>
      </c>
      <c r="F9" s="75" t="str">
        <f>_xlfn.XLOOKUP(B9,'Product Hierarchy'!A:A,'Product Hierarchy'!F:F)</f>
        <v>Repair Kits</v>
      </c>
      <c r="G9" s="76">
        <v>45.92</v>
      </c>
      <c r="H9" s="76">
        <v>36.74</v>
      </c>
      <c r="I9" s="6">
        <v>25.72</v>
      </c>
      <c r="J9" s="5" t="s">
        <v>26</v>
      </c>
      <c r="K9" s="55"/>
      <c r="L9" s="24">
        <f t="shared" ref="L9:L40" si="0">K9*I9</f>
        <v>0</v>
      </c>
      <c r="O9" s="97"/>
    </row>
    <row r="10" spans="1:15" x14ac:dyDescent="0.25">
      <c r="A10" s="104">
        <v>449579</v>
      </c>
      <c r="B10" s="4" t="s">
        <v>448</v>
      </c>
      <c r="C10" s="4" t="s">
        <v>449</v>
      </c>
      <c r="D10" s="75" t="str">
        <f>_xlfn.XLOOKUP(B10,'Product Hierarchy'!A:A,'Product Hierarchy'!C:C)</f>
        <v>LEVEL5</v>
      </c>
      <c r="E10" s="75" t="str">
        <f>_xlfn.XLOOKUP(B10,'Product Hierarchy'!A:A,'Product Hierarchy'!E:E)</f>
        <v>Drywall Auto Tools</v>
      </c>
      <c r="F10" s="75" t="str">
        <f>_xlfn.XLOOKUP(B10,'Product Hierarchy'!A:A,'Product Hierarchy'!F:F)</f>
        <v>Repair Kits</v>
      </c>
      <c r="G10" s="76">
        <v>41.45</v>
      </c>
      <c r="H10" s="76">
        <v>33.159999999999997</v>
      </c>
      <c r="I10" s="6">
        <v>23.21</v>
      </c>
      <c r="J10" s="5" t="s">
        <v>26</v>
      </c>
      <c r="K10" s="55"/>
      <c r="L10" s="24">
        <f t="shared" si="0"/>
        <v>0</v>
      </c>
      <c r="O10" s="97"/>
    </row>
    <row r="11" spans="1:15" x14ac:dyDescent="0.25">
      <c r="A11" s="104">
        <v>448546</v>
      </c>
      <c r="B11" s="75" t="s">
        <v>743</v>
      </c>
      <c r="C11" s="75" t="s">
        <v>744</v>
      </c>
      <c r="D11" s="75" t="str">
        <f>_xlfn.XLOOKUP(B11,'Product Hierarchy'!A:A,'Product Hierarchy'!C:C)</f>
        <v>LEVEL5</v>
      </c>
      <c r="E11" s="75" t="str">
        <f>_xlfn.XLOOKUP(B11,'Product Hierarchy'!A:A,'Product Hierarchy'!E:E)</f>
        <v>Drywall Auto Tools</v>
      </c>
      <c r="F11" s="75" t="str">
        <f>_xlfn.XLOOKUP(B11,'Product Hierarchy'!A:A,'Product Hierarchy'!F:F)</f>
        <v>Parts</v>
      </c>
      <c r="G11" s="76">
        <v>44.46</v>
      </c>
      <c r="H11" s="76">
        <v>37.79</v>
      </c>
      <c r="I11" s="6">
        <v>26.45</v>
      </c>
      <c r="J11" s="5" t="s">
        <v>26</v>
      </c>
      <c r="K11" s="55"/>
      <c r="L11" s="24">
        <f t="shared" si="0"/>
        <v>0</v>
      </c>
      <c r="O11" s="97"/>
    </row>
    <row r="12" spans="1:15" x14ac:dyDescent="0.25">
      <c r="A12" s="104">
        <v>449580</v>
      </c>
      <c r="B12" s="75" t="s">
        <v>745</v>
      </c>
      <c r="C12" s="75" t="s">
        <v>746</v>
      </c>
      <c r="D12" s="75" t="str">
        <f>_xlfn.XLOOKUP(B12,'Product Hierarchy'!A:A,'Product Hierarchy'!C:C)</f>
        <v>LEVEL5</v>
      </c>
      <c r="E12" s="75" t="str">
        <f>_xlfn.XLOOKUP(B12,'Product Hierarchy'!A:A,'Product Hierarchy'!E:E)</f>
        <v>Drywall Auto Tools</v>
      </c>
      <c r="F12" s="75" t="str">
        <f>_xlfn.XLOOKUP(B12,'Product Hierarchy'!A:A,'Product Hierarchy'!F:F)</f>
        <v>Repair Kits</v>
      </c>
      <c r="G12" s="76">
        <v>99.460000000000008</v>
      </c>
      <c r="H12" s="76">
        <v>79.569999999999993</v>
      </c>
      <c r="I12" s="6">
        <v>55.7</v>
      </c>
      <c r="J12" s="5" t="s">
        <v>26</v>
      </c>
      <c r="K12" s="55"/>
      <c r="L12" s="24">
        <f t="shared" si="0"/>
        <v>0</v>
      </c>
      <c r="O12" s="97"/>
    </row>
    <row r="13" spans="1:15" x14ac:dyDescent="0.25">
      <c r="A13" s="104">
        <v>449581</v>
      </c>
      <c r="B13" s="4" t="s">
        <v>450</v>
      </c>
      <c r="C13" s="4" t="s">
        <v>451</v>
      </c>
      <c r="D13" s="75" t="str">
        <f>_xlfn.XLOOKUP(B13,'Product Hierarchy'!A:A,'Product Hierarchy'!C:C)</f>
        <v>LEVEL5</v>
      </c>
      <c r="E13" s="75" t="str">
        <f>_xlfn.XLOOKUP(B13,'Product Hierarchy'!A:A,'Product Hierarchy'!E:E)</f>
        <v>Drywall Auto Tools</v>
      </c>
      <c r="F13" s="75" t="str">
        <f>_xlfn.XLOOKUP(B13,'Product Hierarchy'!A:A,'Product Hierarchy'!F:F)</f>
        <v>Repair Kits</v>
      </c>
      <c r="G13" s="76">
        <v>42.49</v>
      </c>
      <c r="H13" s="76">
        <v>33.99</v>
      </c>
      <c r="I13" s="6">
        <v>23.79</v>
      </c>
      <c r="J13" s="5" t="s">
        <v>26</v>
      </c>
      <c r="K13" s="55"/>
      <c r="L13" s="24">
        <f t="shared" si="0"/>
        <v>0</v>
      </c>
      <c r="O13" s="97"/>
    </row>
    <row r="14" spans="1:15" x14ac:dyDescent="0.25">
      <c r="A14" s="104">
        <v>449184</v>
      </c>
      <c r="B14" s="4" t="s">
        <v>452</v>
      </c>
      <c r="C14" s="4" t="s">
        <v>453</v>
      </c>
      <c r="D14" s="75" t="str">
        <f>_xlfn.XLOOKUP(B14,'Product Hierarchy'!A:A,'Product Hierarchy'!C:C)</f>
        <v>LEVEL5</v>
      </c>
      <c r="E14" s="75" t="str">
        <f>_xlfn.XLOOKUP(B14,'Product Hierarchy'!A:A,'Product Hierarchy'!E:E)</f>
        <v>Drywall Auto Tools</v>
      </c>
      <c r="F14" s="75" t="str">
        <f>_xlfn.XLOOKUP(B14,'Product Hierarchy'!A:A,'Product Hierarchy'!F:F)</f>
        <v>Parts</v>
      </c>
      <c r="G14" s="76">
        <v>52.99</v>
      </c>
      <c r="H14" s="76">
        <v>45.04</v>
      </c>
      <c r="I14" s="6">
        <v>31.53</v>
      </c>
      <c r="J14" s="5" t="s">
        <v>26</v>
      </c>
      <c r="K14" s="55"/>
      <c r="L14" s="24">
        <f t="shared" si="0"/>
        <v>0</v>
      </c>
      <c r="O14" s="97"/>
    </row>
    <row r="15" spans="1:15" x14ac:dyDescent="0.25">
      <c r="A15" s="104">
        <v>449582</v>
      </c>
      <c r="B15" s="4" t="s">
        <v>454</v>
      </c>
      <c r="C15" s="4" t="s">
        <v>455</v>
      </c>
      <c r="D15" s="75" t="str">
        <f>_xlfn.XLOOKUP(B15,'Product Hierarchy'!A:A,'Product Hierarchy'!C:C)</f>
        <v>LEVEL5</v>
      </c>
      <c r="E15" s="75" t="str">
        <f>_xlfn.XLOOKUP(B15,'Product Hierarchy'!A:A,'Product Hierarchy'!E:E)</f>
        <v>Drywall Auto Tools</v>
      </c>
      <c r="F15" s="75" t="str">
        <f>_xlfn.XLOOKUP(B15,'Product Hierarchy'!A:A,'Product Hierarchy'!F:F)</f>
        <v>Repair Kits</v>
      </c>
      <c r="G15" s="76">
        <v>60.49</v>
      </c>
      <c r="H15" s="76">
        <v>48.39</v>
      </c>
      <c r="I15" s="6">
        <v>33.869999999999997</v>
      </c>
      <c r="J15" s="5" t="s">
        <v>26</v>
      </c>
      <c r="K15" s="55"/>
      <c r="L15" s="24">
        <f t="shared" si="0"/>
        <v>0</v>
      </c>
      <c r="O15" s="97"/>
    </row>
    <row r="16" spans="1:15" x14ac:dyDescent="0.25">
      <c r="A16" s="104">
        <v>449583</v>
      </c>
      <c r="B16" s="4" t="s">
        <v>456</v>
      </c>
      <c r="C16" s="4" t="s">
        <v>457</v>
      </c>
      <c r="D16" s="75" t="str">
        <f>_xlfn.XLOOKUP(B16,'Product Hierarchy'!A:A,'Product Hierarchy'!C:C)</f>
        <v>LEVEL5</v>
      </c>
      <c r="E16" s="75" t="str">
        <f>_xlfn.XLOOKUP(B16,'Product Hierarchy'!A:A,'Product Hierarchy'!E:E)</f>
        <v>Drywall Auto Tools</v>
      </c>
      <c r="F16" s="75" t="str">
        <f>_xlfn.XLOOKUP(B16,'Product Hierarchy'!A:A,'Product Hierarchy'!F:F)</f>
        <v>Repair Kits</v>
      </c>
      <c r="G16" s="76">
        <v>58.900000000000006</v>
      </c>
      <c r="H16" s="76">
        <v>47.12</v>
      </c>
      <c r="I16" s="6">
        <v>32.979999999999997</v>
      </c>
      <c r="J16" s="5" t="s">
        <v>26</v>
      </c>
      <c r="K16" s="55"/>
      <c r="L16" s="24">
        <f t="shared" si="0"/>
        <v>0</v>
      </c>
      <c r="O16" s="97"/>
    </row>
    <row r="17" spans="1:15" x14ac:dyDescent="0.25">
      <c r="A17" s="104">
        <v>448547</v>
      </c>
      <c r="B17" s="75" t="s">
        <v>1081</v>
      </c>
      <c r="C17" s="75" t="s">
        <v>1082</v>
      </c>
      <c r="D17" s="75" t="str">
        <f>_xlfn.XLOOKUP(B17,'Product Hierarchy'!A:A,'Product Hierarchy'!C:C)</f>
        <v>LEVEL5</v>
      </c>
      <c r="E17" s="75" t="str">
        <f>_xlfn.XLOOKUP(B17,'Product Hierarchy'!A:A,'Product Hierarchy'!E:E)</f>
        <v>Drywall Auto Tools</v>
      </c>
      <c r="F17" s="75" t="str">
        <f>_xlfn.XLOOKUP(B17,'Product Hierarchy'!A:A,'Product Hierarchy'!F:F)</f>
        <v>Parts</v>
      </c>
      <c r="G17" s="76">
        <v>27.98</v>
      </c>
      <c r="H17" s="76">
        <v>23.78</v>
      </c>
      <c r="I17" s="6">
        <v>16.649999999999999</v>
      </c>
      <c r="J17" s="5" t="s">
        <v>26</v>
      </c>
      <c r="K17" s="55"/>
      <c r="L17" s="24">
        <f t="shared" si="0"/>
        <v>0</v>
      </c>
      <c r="O17" s="97"/>
    </row>
    <row r="18" spans="1:15" x14ac:dyDescent="0.25">
      <c r="A18" s="104">
        <v>448548</v>
      </c>
      <c r="B18" s="75" t="s">
        <v>1083</v>
      </c>
      <c r="C18" s="75" t="s">
        <v>1084</v>
      </c>
      <c r="D18" s="75" t="str">
        <f>_xlfn.XLOOKUP(B18,'Product Hierarchy'!A:A,'Product Hierarchy'!C:C)</f>
        <v>LEVEL5</v>
      </c>
      <c r="E18" s="75" t="str">
        <f>_xlfn.XLOOKUP(B18,'Product Hierarchy'!A:A,'Product Hierarchy'!E:E)</f>
        <v>Drywall Auto Tools</v>
      </c>
      <c r="F18" s="75" t="str">
        <f>_xlfn.XLOOKUP(B18,'Product Hierarchy'!A:A,'Product Hierarchy'!F:F)</f>
        <v>Parts</v>
      </c>
      <c r="G18" s="76">
        <v>18.489999999999998</v>
      </c>
      <c r="H18" s="76">
        <v>15.72</v>
      </c>
      <c r="I18" s="6">
        <v>11</v>
      </c>
      <c r="J18" s="5" t="s">
        <v>26</v>
      </c>
      <c r="K18" s="55"/>
      <c r="L18" s="24">
        <f t="shared" si="0"/>
        <v>0</v>
      </c>
      <c r="O18" s="97"/>
    </row>
    <row r="19" spans="1:15" x14ac:dyDescent="0.25">
      <c r="A19" s="104">
        <v>448549</v>
      </c>
      <c r="B19" s="75" t="s">
        <v>1085</v>
      </c>
      <c r="C19" s="75" t="s">
        <v>1086</v>
      </c>
      <c r="D19" s="75" t="str">
        <f>_xlfn.XLOOKUP(B19,'Product Hierarchy'!A:A,'Product Hierarchy'!C:C)</f>
        <v>LEVEL5</v>
      </c>
      <c r="E19" s="75" t="str">
        <f>_xlfn.XLOOKUP(B19,'Product Hierarchy'!A:A,'Product Hierarchy'!E:E)</f>
        <v>Drywall Auto Tools</v>
      </c>
      <c r="F19" s="75" t="str">
        <f>_xlfn.XLOOKUP(B19,'Product Hierarchy'!A:A,'Product Hierarchy'!F:F)</f>
        <v>Parts</v>
      </c>
      <c r="G19" s="76">
        <v>52.99</v>
      </c>
      <c r="H19" s="76">
        <v>45.04</v>
      </c>
      <c r="I19" s="6">
        <v>31.53</v>
      </c>
      <c r="J19" s="5" t="s">
        <v>26</v>
      </c>
      <c r="K19" s="55"/>
      <c r="L19" s="24">
        <f t="shared" si="0"/>
        <v>0</v>
      </c>
      <c r="O19" s="97"/>
    </row>
    <row r="20" spans="1:15" x14ac:dyDescent="0.25">
      <c r="A20" s="104">
        <v>449584</v>
      </c>
      <c r="B20" s="4" t="s">
        <v>458</v>
      </c>
      <c r="C20" s="4" t="s">
        <v>459</v>
      </c>
      <c r="D20" s="75" t="str">
        <f>_xlfn.XLOOKUP(B20,'Product Hierarchy'!A:A,'Product Hierarchy'!C:C)</f>
        <v>LEVEL5</v>
      </c>
      <c r="E20" s="75" t="str">
        <f>_xlfn.XLOOKUP(B20,'Product Hierarchy'!A:A,'Product Hierarchy'!E:E)</f>
        <v>Drywall Auto Tools</v>
      </c>
      <c r="F20" s="75" t="str">
        <f>_xlfn.XLOOKUP(B20,'Product Hierarchy'!A:A,'Product Hierarchy'!F:F)</f>
        <v>Repair Kits</v>
      </c>
      <c r="G20" s="76">
        <v>91.309999999999988</v>
      </c>
      <c r="H20" s="76">
        <v>73.05</v>
      </c>
      <c r="I20" s="6">
        <v>51.14</v>
      </c>
      <c r="J20" s="5" t="s">
        <v>26</v>
      </c>
      <c r="K20" s="55"/>
      <c r="L20" s="24">
        <f t="shared" si="0"/>
        <v>0</v>
      </c>
      <c r="O20" s="97"/>
    </row>
    <row r="21" spans="1:15" x14ac:dyDescent="0.25">
      <c r="A21" s="104">
        <v>449585</v>
      </c>
      <c r="B21" s="4" t="s">
        <v>460</v>
      </c>
      <c r="C21" s="4" t="s">
        <v>461</v>
      </c>
      <c r="D21" s="75" t="str">
        <f>_xlfn.XLOOKUP(B21,'Product Hierarchy'!A:A,'Product Hierarchy'!C:C)</f>
        <v>LEVEL5</v>
      </c>
      <c r="E21" s="75" t="str">
        <f>_xlfn.XLOOKUP(B21,'Product Hierarchy'!A:A,'Product Hierarchy'!E:E)</f>
        <v>Drywall Auto Tools</v>
      </c>
      <c r="F21" s="75" t="str">
        <f>_xlfn.XLOOKUP(B21,'Product Hierarchy'!A:A,'Product Hierarchy'!F:F)</f>
        <v>Repair Kits</v>
      </c>
      <c r="G21" s="76">
        <v>95.39</v>
      </c>
      <c r="H21" s="76">
        <v>76.31</v>
      </c>
      <c r="I21" s="6">
        <v>53.42</v>
      </c>
      <c r="J21" s="5" t="s">
        <v>26</v>
      </c>
      <c r="K21" s="55"/>
      <c r="L21" s="24">
        <f t="shared" si="0"/>
        <v>0</v>
      </c>
      <c r="O21" s="97"/>
    </row>
    <row r="22" spans="1:15" x14ac:dyDescent="0.25">
      <c r="A22" s="104">
        <v>448550</v>
      </c>
      <c r="B22" s="4" t="s">
        <v>462</v>
      </c>
      <c r="C22" s="4" t="s">
        <v>387</v>
      </c>
      <c r="D22" s="75" t="str">
        <f>_xlfn.XLOOKUP(B22,'Product Hierarchy'!A:A,'Product Hierarchy'!C:C)</f>
        <v>LEVEL5</v>
      </c>
      <c r="E22" s="75" t="str">
        <f>_xlfn.XLOOKUP(B22,'Product Hierarchy'!A:A,'Product Hierarchy'!E:E)</f>
        <v>Drywall Auto Tools</v>
      </c>
      <c r="F22" s="75" t="str">
        <f>_xlfn.XLOOKUP(B22,'Product Hierarchy'!A:A,'Product Hierarchy'!F:F)</f>
        <v>Parts</v>
      </c>
      <c r="G22" s="76">
        <v>173.99</v>
      </c>
      <c r="H22" s="76">
        <v>147.88999999999999</v>
      </c>
      <c r="I22" s="6">
        <v>103.52</v>
      </c>
      <c r="J22" s="5" t="s">
        <v>26</v>
      </c>
      <c r="K22" s="55"/>
      <c r="L22" s="24">
        <f t="shared" si="0"/>
        <v>0</v>
      </c>
      <c r="O22" s="97"/>
    </row>
    <row r="23" spans="1:15" x14ac:dyDescent="0.25">
      <c r="A23" s="104">
        <v>448551</v>
      </c>
      <c r="B23" s="4" t="s">
        <v>463</v>
      </c>
      <c r="C23" s="4" t="s">
        <v>364</v>
      </c>
      <c r="D23" s="75" t="str">
        <f>_xlfn.XLOOKUP(B23,'Product Hierarchy'!A:A,'Product Hierarchy'!C:C)</f>
        <v>LEVEL5</v>
      </c>
      <c r="E23" s="75" t="str">
        <f>_xlfn.XLOOKUP(B23,'Product Hierarchy'!A:A,'Product Hierarchy'!E:E)</f>
        <v>Drywall Auto Tools</v>
      </c>
      <c r="F23" s="75" t="str">
        <f>_xlfn.XLOOKUP(B23,'Product Hierarchy'!A:A,'Product Hierarchy'!F:F)</f>
        <v>Parts</v>
      </c>
      <c r="G23" s="76">
        <v>150.49</v>
      </c>
      <c r="H23" s="76">
        <v>127.92</v>
      </c>
      <c r="I23" s="6">
        <v>89.54</v>
      </c>
      <c r="J23" s="5" t="s">
        <v>26</v>
      </c>
      <c r="K23" s="55"/>
      <c r="L23" s="24">
        <f t="shared" si="0"/>
        <v>0</v>
      </c>
      <c r="O23" s="97"/>
    </row>
    <row r="24" spans="1:15" x14ac:dyDescent="0.25">
      <c r="A24" s="104">
        <v>448552</v>
      </c>
      <c r="B24" s="4" t="s">
        <v>464</v>
      </c>
      <c r="C24" s="4" t="s">
        <v>465</v>
      </c>
      <c r="D24" s="75" t="str">
        <f>_xlfn.XLOOKUP(B24,'Product Hierarchy'!A:A,'Product Hierarchy'!C:C)</f>
        <v>LEVEL5</v>
      </c>
      <c r="E24" s="75" t="str">
        <f>_xlfn.XLOOKUP(B24,'Product Hierarchy'!A:A,'Product Hierarchy'!E:E)</f>
        <v>Drywall Auto Tools</v>
      </c>
      <c r="F24" s="75" t="str">
        <f>_xlfn.XLOOKUP(B24,'Product Hierarchy'!A:A,'Product Hierarchy'!F:F)</f>
        <v>Parts</v>
      </c>
      <c r="G24" s="76">
        <v>34.900000000000006</v>
      </c>
      <c r="H24" s="76">
        <v>29.67</v>
      </c>
      <c r="I24" s="6">
        <v>20.77</v>
      </c>
      <c r="J24" s="5" t="s">
        <v>26</v>
      </c>
      <c r="K24" s="55"/>
      <c r="L24" s="24">
        <f t="shared" si="0"/>
        <v>0</v>
      </c>
      <c r="O24" s="97"/>
    </row>
    <row r="25" spans="1:15" x14ac:dyDescent="0.25">
      <c r="A25" s="104">
        <v>448553</v>
      </c>
      <c r="B25" s="4" t="s">
        <v>466</v>
      </c>
      <c r="C25" s="4" t="s">
        <v>467</v>
      </c>
      <c r="D25" s="75" t="str">
        <f>_xlfn.XLOOKUP(B25,'Product Hierarchy'!A:A,'Product Hierarchy'!C:C)</f>
        <v>LEVEL5</v>
      </c>
      <c r="E25" s="75" t="str">
        <f>_xlfn.XLOOKUP(B25,'Product Hierarchy'!A:A,'Product Hierarchy'!E:E)</f>
        <v>Drywall Auto Tools</v>
      </c>
      <c r="F25" s="75" t="str">
        <f>_xlfn.XLOOKUP(B25,'Product Hierarchy'!A:A,'Product Hierarchy'!F:F)</f>
        <v>Parts</v>
      </c>
      <c r="G25" s="76">
        <v>87.25</v>
      </c>
      <c r="H25" s="76">
        <v>74.16</v>
      </c>
      <c r="I25" s="6">
        <v>51.91</v>
      </c>
      <c r="J25" s="5" t="s">
        <v>26</v>
      </c>
      <c r="K25" s="55"/>
      <c r="L25" s="24">
        <f t="shared" si="0"/>
        <v>0</v>
      </c>
      <c r="O25" s="97"/>
    </row>
    <row r="26" spans="1:15" x14ac:dyDescent="0.25">
      <c r="A26" s="104">
        <v>449185</v>
      </c>
      <c r="B26" s="4" t="s">
        <v>468</v>
      </c>
      <c r="C26" s="4" t="s">
        <v>469</v>
      </c>
      <c r="D26" s="75" t="str">
        <f>_xlfn.XLOOKUP(B26,'Product Hierarchy'!A:A,'Product Hierarchy'!C:C)</f>
        <v>LEVEL5</v>
      </c>
      <c r="E26" s="75" t="str">
        <f>_xlfn.XLOOKUP(B26,'Product Hierarchy'!A:A,'Product Hierarchy'!E:E)</f>
        <v>Drywall Auto Tools</v>
      </c>
      <c r="F26" s="75" t="str">
        <f>_xlfn.XLOOKUP(B26,'Product Hierarchy'!A:A,'Product Hierarchy'!F:F)</f>
        <v>Parts</v>
      </c>
      <c r="G26" s="76">
        <v>64.900000000000006</v>
      </c>
      <c r="H26" s="76">
        <v>55.17</v>
      </c>
      <c r="I26" s="6">
        <v>38.619999999999997</v>
      </c>
      <c r="J26" s="5" t="s">
        <v>26</v>
      </c>
      <c r="K26" s="55"/>
      <c r="L26" s="24">
        <f t="shared" si="0"/>
        <v>0</v>
      </c>
      <c r="O26" s="97"/>
    </row>
    <row r="27" spans="1:15" x14ac:dyDescent="0.25">
      <c r="A27" s="104">
        <v>449174</v>
      </c>
      <c r="B27" s="4" t="s">
        <v>470</v>
      </c>
      <c r="C27" s="4" t="s">
        <v>471</v>
      </c>
      <c r="D27" s="75" t="str">
        <f>_xlfn.XLOOKUP(B27,'Product Hierarchy'!A:A,'Product Hierarchy'!C:C)</f>
        <v>LEVEL5</v>
      </c>
      <c r="E27" s="75" t="str">
        <f>_xlfn.XLOOKUP(B27,'Product Hierarchy'!A:A,'Product Hierarchy'!E:E)</f>
        <v>Drywall Auto Tools</v>
      </c>
      <c r="F27" s="75" t="str">
        <f>_xlfn.XLOOKUP(B27,'Product Hierarchy'!A:A,'Product Hierarchy'!F:F)</f>
        <v>Parts</v>
      </c>
      <c r="G27" s="76">
        <v>19.899999999999999</v>
      </c>
      <c r="H27" s="76">
        <v>16.920000000000002</v>
      </c>
      <c r="I27" s="6">
        <v>11.84</v>
      </c>
      <c r="J27" s="5" t="s">
        <v>26</v>
      </c>
      <c r="K27" s="55"/>
      <c r="L27" s="24">
        <f t="shared" si="0"/>
        <v>0</v>
      </c>
      <c r="O27" s="97"/>
    </row>
    <row r="28" spans="1:15" x14ac:dyDescent="0.25">
      <c r="A28" s="104">
        <v>448554</v>
      </c>
      <c r="B28" s="4" t="s">
        <v>472</v>
      </c>
      <c r="C28" s="4" t="s">
        <v>385</v>
      </c>
      <c r="D28" s="75" t="str">
        <f>_xlfn.XLOOKUP(B28,'Product Hierarchy'!A:A,'Product Hierarchy'!C:C)</f>
        <v>LEVEL5</v>
      </c>
      <c r="E28" s="75" t="str">
        <f>_xlfn.XLOOKUP(B28,'Product Hierarchy'!A:A,'Product Hierarchy'!E:E)</f>
        <v>Drywall Auto Tools</v>
      </c>
      <c r="F28" s="75" t="str">
        <f>_xlfn.XLOOKUP(B28,'Product Hierarchy'!A:A,'Product Hierarchy'!F:F)</f>
        <v>Parts</v>
      </c>
      <c r="G28" s="76">
        <v>137.42999999999998</v>
      </c>
      <c r="H28" s="76">
        <v>116.82</v>
      </c>
      <c r="I28" s="6">
        <v>81.77</v>
      </c>
      <c r="J28" s="5" t="s">
        <v>26</v>
      </c>
      <c r="K28" s="55"/>
      <c r="L28" s="24">
        <f t="shared" si="0"/>
        <v>0</v>
      </c>
      <c r="O28" s="97"/>
    </row>
    <row r="29" spans="1:15" x14ac:dyDescent="0.25">
      <c r="A29" s="104">
        <v>448555</v>
      </c>
      <c r="B29" s="75" t="s">
        <v>1087</v>
      </c>
      <c r="C29" s="75" t="s">
        <v>1088</v>
      </c>
      <c r="D29" s="75" t="str">
        <f>_xlfn.XLOOKUP(B29,'Product Hierarchy'!A:A,'Product Hierarchy'!C:C)</f>
        <v>LEVEL5</v>
      </c>
      <c r="E29" s="75" t="str">
        <f>_xlfn.XLOOKUP(B29,'Product Hierarchy'!A:A,'Product Hierarchy'!E:E)</f>
        <v>Drywall Auto Tools</v>
      </c>
      <c r="F29" s="75" t="str">
        <f>_xlfn.XLOOKUP(B29,'Product Hierarchy'!A:A,'Product Hierarchy'!F:F)</f>
        <v>Parts</v>
      </c>
      <c r="G29" s="76">
        <v>168.4</v>
      </c>
      <c r="H29" s="76">
        <v>143.13999999999999</v>
      </c>
      <c r="I29" s="6">
        <v>100.2</v>
      </c>
      <c r="J29" s="5" t="s">
        <v>26</v>
      </c>
      <c r="K29" s="55"/>
      <c r="L29" s="24">
        <f t="shared" si="0"/>
        <v>0</v>
      </c>
      <c r="O29" s="97"/>
    </row>
    <row r="30" spans="1:15" x14ac:dyDescent="0.25">
      <c r="A30" s="104">
        <v>448556</v>
      </c>
      <c r="B30" s="4" t="s">
        <v>473</v>
      </c>
      <c r="C30" s="4" t="s">
        <v>474</v>
      </c>
      <c r="D30" s="75" t="str">
        <f>_xlfn.XLOOKUP(B30,'Product Hierarchy'!A:A,'Product Hierarchy'!C:C)</f>
        <v>LEVEL5</v>
      </c>
      <c r="E30" s="75" t="str">
        <f>_xlfn.XLOOKUP(B30,'Product Hierarchy'!A:A,'Product Hierarchy'!E:E)</f>
        <v>Drywall Auto Tools</v>
      </c>
      <c r="F30" s="75" t="str">
        <f>_xlfn.XLOOKUP(B30,'Product Hierarchy'!A:A,'Product Hierarchy'!F:F)</f>
        <v>Parts</v>
      </c>
      <c r="G30" s="76">
        <v>117.83999999999999</v>
      </c>
      <c r="H30" s="76">
        <v>100.16</v>
      </c>
      <c r="I30" s="6">
        <v>70.11</v>
      </c>
      <c r="J30" s="5" t="s">
        <v>26</v>
      </c>
      <c r="K30" s="55"/>
      <c r="L30" s="24">
        <f t="shared" si="0"/>
        <v>0</v>
      </c>
      <c r="O30" s="97"/>
    </row>
    <row r="31" spans="1:15" x14ac:dyDescent="0.25">
      <c r="A31" s="104">
        <v>448557</v>
      </c>
      <c r="B31" s="4" t="s">
        <v>475</v>
      </c>
      <c r="C31" s="4" t="s">
        <v>476</v>
      </c>
      <c r="D31" s="75" t="str">
        <f>_xlfn.XLOOKUP(B31,'Product Hierarchy'!A:A,'Product Hierarchy'!C:C)</f>
        <v>LEVEL5</v>
      </c>
      <c r="E31" s="75" t="str">
        <f>_xlfn.XLOOKUP(B31,'Product Hierarchy'!A:A,'Product Hierarchy'!E:E)</f>
        <v>Drywall Auto Tools</v>
      </c>
      <c r="F31" s="75" t="str">
        <f>_xlfn.XLOOKUP(B31,'Product Hierarchy'!A:A,'Product Hierarchy'!F:F)</f>
        <v>Parts</v>
      </c>
      <c r="G31" s="76">
        <v>125.33999999999999</v>
      </c>
      <c r="H31" s="76">
        <v>106.54</v>
      </c>
      <c r="I31" s="6">
        <v>74.58</v>
      </c>
      <c r="J31" s="5" t="s">
        <v>26</v>
      </c>
      <c r="K31" s="55"/>
      <c r="L31" s="24">
        <f t="shared" si="0"/>
        <v>0</v>
      </c>
      <c r="O31" s="97"/>
    </row>
    <row r="32" spans="1:15" x14ac:dyDescent="0.25">
      <c r="A32" s="104">
        <v>448558</v>
      </c>
      <c r="B32" s="4" t="s">
        <v>477</v>
      </c>
      <c r="C32" s="4" t="s">
        <v>478</v>
      </c>
      <c r="D32" s="75" t="str">
        <f>_xlfn.XLOOKUP(B32,'Product Hierarchy'!A:A,'Product Hierarchy'!C:C)</f>
        <v>LEVEL5</v>
      </c>
      <c r="E32" s="75" t="str">
        <f>_xlfn.XLOOKUP(B32,'Product Hierarchy'!A:A,'Product Hierarchy'!E:E)</f>
        <v>Drywall Auto Tools</v>
      </c>
      <c r="F32" s="75" t="str">
        <f>_xlfn.XLOOKUP(B32,'Product Hierarchy'!A:A,'Product Hierarchy'!F:F)</f>
        <v>Parts</v>
      </c>
      <c r="G32" s="76">
        <v>132.84</v>
      </c>
      <c r="H32" s="76">
        <v>112.91</v>
      </c>
      <c r="I32" s="6">
        <v>79.040000000000006</v>
      </c>
      <c r="J32" s="5" t="s">
        <v>26</v>
      </c>
      <c r="K32" s="55"/>
      <c r="L32" s="24">
        <f t="shared" si="0"/>
        <v>0</v>
      </c>
      <c r="O32" s="97"/>
    </row>
    <row r="33" spans="1:15" x14ac:dyDescent="0.25">
      <c r="A33" s="104">
        <v>448559</v>
      </c>
      <c r="B33" s="4" t="s">
        <v>479</v>
      </c>
      <c r="C33" s="4" t="s">
        <v>480</v>
      </c>
      <c r="D33" s="75" t="str">
        <f>_xlfn.XLOOKUP(B33,'Product Hierarchy'!A:A,'Product Hierarchy'!C:C)</f>
        <v>LEVEL5</v>
      </c>
      <c r="E33" s="75" t="str">
        <f>_xlfn.XLOOKUP(B33,'Product Hierarchy'!A:A,'Product Hierarchy'!E:E)</f>
        <v>Drywall Auto Tools</v>
      </c>
      <c r="F33" s="75" t="str">
        <f>_xlfn.XLOOKUP(B33,'Product Hierarchy'!A:A,'Product Hierarchy'!F:F)</f>
        <v>Parts</v>
      </c>
      <c r="G33" s="76">
        <v>24.950000000000003</v>
      </c>
      <c r="H33" s="76">
        <v>21.21</v>
      </c>
      <c r="I33" s="6">
        <v>14.85</v>
      </c>
      <c r="J33" s="5" t="s">
        <v>26</v>
      </c>
      <c r="K33" s="55"/>
      <c r="L33" s="24">
        <f t="shared" si="0"/>
        <v>0</v>
      </c>
      <c r="O33" s="97"/>
    </row>
    <row r="34" spans="1:15" x14ac:dyDescent="0.25">
      <c r="A34" s="104">
        <v>448560</v>
      </c>
      <c r="B34" s="4" t="s">
        <v>481</v>
      </c>
      <c r="C34" s="4" t="s">
        <v>482</v>
      </c>
      <c r="D34" s="75" t="str">
        <f>_xlfn.XLOOKUP(B34,'Product Hierarchy'!A:A,'Product Hierarchy'!C:C)</f>
        <v>LEVEL5</v>
      </c>
      <c r="E34" s="75" t="str">
        <f>_xlfn.XLOOKUP(B34,'Product Hierarchy'!A:A,'Product Hierarchy'!E:E)</f>
        <v>Drywall Auto Tools</v>
      </c>
      <c r="F34" s="75" t="str">
        <f>_xlfn.XLOOKUP(B34,'Product Hierarchy'!A:A,'Product Hierarchy'!F:F)</f>
        <v>Parts</v>
      </c>
      <c r="G34" s="76">
        <v>39.950000000000003</v>
      </c>
      <c r="H34" s="76">
        <v>33.96</v>
      </c>
      <c r="I34" s="6">
        <v>23.77</v>
      </c>
      <c r="J34" s="5" t="s">
        <v>26</v>
      </c>
      <c r="K34" s="55"/>
      <c r="L34" s="24">
        <f t="shared" si="0"/>
        <v>0</v>
      </c>
      <c r="O34" s="97"/>
    </row>
    <row r="35" spans="1:15" x14ac:dyDescent="0.25">
      <c r="A35" s="104">
        <v>448561</v>
      </c>
      <c r="B35" s="4" t="s">
        <v>483</v>
      </c>
      <c r="C35" s="4" t="s">
        <v>484</v>
      </c>
      <c r="D35" s="75" t="str">
        <f>_xlfn.XLOOKUP(B35,'Product Hierarchy'!A:A,'Product Hierarchy'!C:C)</f>
        <v>LEVEL5</v>
      </c>
      <c r="E35" s="75" t="str">
        <f>_xlfn.XLOOKUP(B35,'Product Hierarchy'!A:A,'Product Hierarchy'!E:E)</f>
        <v>Drywall Auto Tools</v>
      </c>
      <c r="F35" s="75" t="str">
        <f>_xlfn.XLOOKUP(B35,'Product Hierarchy'!A:A,'Product Hierarchy'!F:F)</f>
        <v>Parts</v>
      </c>
      <c r="G35" s="76">
        <v>47.45</v>
      </c>
      <c r="H35" s="76">
        <v>40.33</v>
      </c>
      <c r="I35" s="6">
        <v>28.23</v>
      </c>
      <c r="J35" s="5" t="s">
        <v>26</v>
      </c>
      <c r="K35" s="55"/>
      <c r="L35" s="24">
        <f t="shared" si="0"/>
        <v>0</v>
      </c>
      <c r="O35" s="97"/>
    </row>
    <row r="36" spans="1:15" x14ac:dyDescent="0.25">
      <c r="A36" s="104">
        <v>449586</v>
      </c>
      <c r="B36" s="4" t="s">
        <v>485</v>
      </c>
      <c r="C36" s="4" t="s">
        <v>873</v>
      </c>
      <c r="D36" s="75" t="str">
        <f>_xlfn.XLOOKUP(B36,'Product Hierarchy'!A:A,'Product Hierarchy'!C:C)</f>
        <v>LEVEL5</v>
      </c>
      <c r="E36" s="75" t="str">
        <f>_xlfn.XLOOKUP(B36,'Product Hierarchy'!A:A,'Product Hierarchy'!E:E)</f>
        <v>Drywall Auto Tools</v>
      </c>
      <c r="F36" s="75" t="str">
        <f>_xlfn.XLOOKUP(B36,'Product Hierarchy'!A:A,'Product Hierarchy'!F:F)</f>
        <v>Repair Kits</v>
      </c>
      <c r="G36" s="76">
        <v>25.93</v>
      </c>
      <c r="H36" s="76">
        <v>20.74</v>
      </c>
      <c r="I36" s="6">
        <v>14.52</v>
      </c>
      <c r="J36" s="5" t="s">
        <v>26</v>
      </c>
      <c r="K36" s="55"/>
      <c r="L36" s="24">
        <f t="shared" si="0"/>
        <v>0</v>
      </c>
      <c r="O36" s="97"/>
    </row>
    <row r="37" spans="1:15" x14ac:dyDescent="0.25">
      <c r="A37" s="104">
        <v>449587</v>
      </c>
      <c r="B37" s="4" t="s">
        <v>486</v>
      </c>
      <c r="C37" s="4" t="s">
        <v>874</v>
      </c>
      <c r="D37" s="75" t="str">
        <f>_xlfn.XLOOKUP(B37,'Product Hierarchy'!A:A,'Product Hierarchy'!C:C)</f>
        <v>LEVEL5</v>
      </c>
      <c r="E37" s="75" t="str">
        <f>_xlfn.XLOOKUP(B37,'Product Hierarchy'!A:A,'Product Hierarchy'!E:E)</f>
        <v>Drywall Auto Tools</v>
      </c>
      <c r="F37" s="75" t="str">
        <f>_xlfn.XLOOKUP(B37,'Product Hierarchy'!A:A,'Product Hierarchy'!F:F)</f>
        <v>Repair Kits</v>
      </c>
      <c r="G37" s="76">
        <v>34.93</v>
      </c>
      <c r="H37" s="76">
        <v>27.94</v>
      </c>
      <c r="I37" s="6">
        <v>19.559999999999999</v>
      </c>
      <c r="J37" s="5" t="s">
        <v>26</v>
      </c>
      <c r="K37" s="55"/>
      <c r="L37" s="24">
        <f t="shared" si="0"/>
        <v>0</v>
      </c>
      <c r="O37" s="97"/>
    </row>
    <row r="38" spans="1:15" x14ac:dyDescent="0.25">
      <c r="A38" s="104">
        <v>449588</v>
      </c>
      <c r="B38" s="4" t="s">
        <v>487</v>
      </c>
      <c r="C38" s="4" t="s">
        <v>875</v>
      </c>
      <c r="D38" s="75" t="str">
        <f>_xlfn.XLOOKUP(B38,'Product Hierarchy'!A:A,'Product Hierarchy'!C:C)</f>
        <v>LEVEL5</v>
      </c>
      <c r="E38" s="75" t="str">
        <f>_xlfn.XLOOKUP(B38,'Product Hierarchy'!A:A,'Product Hierarchy'!E:E)</f>
        <v>Drywall Auto Tools</v>
      </c>
      <c r="F38" s="75" t="str">
        <f>_xlfn.XLOOKUP(B38,'Product Hierarchy'!A:A,'Product Hierarchy'!F:F)</f>
        <v>Repair Kits</v>
      </c>
      <c r="G38" s="76">
        <v>39.43</v>
      </c>
      <c r="H38" s="76">
        <v>31.54</v>
      </c>
      <c r="I38" s="6">
        <v>22.08</v>
      </c>
      <c r="J38" s="5" t="s">
        <v>26</v>
      </c>
      <c r="K38" s="55"/>
      <c r="L38" s="24">
        <f t="shared" si="0"/>
        <v>0</v>
      </c>
      <c r="O38" s="97"/>
    </row>
    <row r="39" spans="1:15" x14ac:dyDescent="0.25">
      <c r="A39" s="104">
        <v>448562</v>
      </c>
      <c r="B39" s="4" t="s">
        <v>488</v>
      </c>
      <c r="C39" s="4" t="s">
        <v>489</v>
      </c>
      <c r="D39" s="75" t="str">
        <f>_xlfn.XLOOKUP(B39,'Product Hierarchy'!A:A,'Product Hierarchy'!C:C)</f>
        <v>LEVEL5</v>
      </c>
      <c r="E39" s="75" t="str">
        <f>_xlfn.XLOOKUP(B39,'Product Hierarchy'!A:A,'Product Hierarchy'!E:E)</f>
        <v>Drywall Auto Tools</v>
      </c>
      <c r="F39" s="75" t="str">
        <f>_xlfn.XLOOKUP(B39,'Product Hierarchy'!A:A,'Product Hierarchy'!F:F)</f>
        <v>Parts</v>
      </c>
      <c r="G39" s="76">
        <v>180.49</v>
      </c>
      <c r="H39" s="76">
        <v>153.41999999999999</v>
      </c>
      <c r="I39" s="6">
        <v>107.39</v>
      </c>
      <c r="J39" s="5" t="s">
        <v>26</v>
      </c>
      <c r="K39" s="55"/>
      <c r="L39" s="24">
        <f t="shared" si="0"/>
        <v>0</v>
      </c>
      <c r="O39" s="97"/>
    </row>
    <row r="40" spans="1:15" x14ac:dyDescent="0.25">
      <c r="A40" s="104">
        <v>448563</v>
      </c>
      <c r="B40" s="4" t="s">
        <v>490</v>
      </c>
      <c r="C40" s="4" t="s">
        <v>491</v>
      </c>
      <c r="D40" s="75" t="str">
        <f>_xlfn.XLOOKUP(B40,'Product Hierarchy'!A:A,'Product Hierarchy'!C:C)</f>
        <v>LEVEL5</v>
      </c>
      <c r="E40" s="75" t="str">
        <f>_xlfn.XLOOKUP(B40,'Product Hierarchy'!A:A,'Product Hierarchy'!E:E)</f>
        <v>Drywall Auto Tools</v>
      </c>
      <c r="F40" s="75" t="str">
        <f>_xlfn.XLOOKUP(B40,'Product Hierarchy'!A:A,'Product Hierarchy'!F:F)</f>
        <v>Parts</v>
      </c>
      <c r="G40" s="76">
        <v>210.49</v>
      </c>
      <c r="H40" s="76">
        <v>178.92</v>
      </c>
      <c r="I40" s="6">
        <v>125.24</v>
      </c>
      <c r="J40" s="5" t="s">
        <v>26</v>
      </c>
      <c r="K40" s="55"/>
      <c r="L40" s="24">
        <f t="shared" si="0"/>
        <v>0</v>
      </c>
      <c r="O40" s="97"/>
    </row>
    <row r="41" spans="1:15" x14ac:dyDescent="0.25">
      <c r="A41" s="104">
        <v>448564</v>
      </c>
      <c r="B41" s="4" t="s">
        <v>492</v>
      </c>
      <c r="C41" s="4" t="s">
        <v>493</v>
      </c>
      <c r="D41" s="75" t="str">
        <f>_xlfn.XLOOKUP(B41,'Product Hierarchy'!A:A,'Product Hierarchy'!C:C)</f>
        <v>LEVEL5</v>
      </c>
      <c r="E41" s="75" t="str">
        <f>_xlfn.XLOOKUP(B41,'Product Hierarchy'!A:A,'Product Hierarchy'!E:E)</f>
        <v>Drywall Auto Tools</v>
      </c>
      <c r="F41" s="75" t="str">
        <f>_xlfn.XLOOKUP(B41,'Product Hierarchy'!A:A,'Product Hierarchy'!F:F)</f>
        <v>Parts</v>
      </c>
      <c r="G41" s="76">
        <v>240.49</v>
      </c>
      <c r="H41" s="76">
        <v>204.42</v>
      </c>
      <c r="I41" s="6">
        <v>143.09</v>
      </c>
      <c r="J41" s="5" t="s">
        <v>26</v>
      </c>
      <c r="K41" s="55"/>
      <c r="L41" s="24">
        <f t="shared" ref="L41:L72" si="1">K41*I41</f>
        <v>0</v>
      </c>
      <c r="O41" s="97"/>
    </row>
    <row r="42" spans="1:15" x14ac:dyDescent="0.25">
      <c r="A42" s="104">
        <v>448565</v>
      </c>
      <c r="B42" s="4" t="s">
        <v>494</v>
      </c>
      <c r="C42" s="4" t="s">
        <v>495</v>
      </c>
      <c r="D42" s="75" t="str">
        <f>_xlfn.XLOOKUP(B42,'Product Hierarchy'!A:A,'Product Hierarchy'!C:C)</f>
        <v>LEVEL5</v>
      </c>
      <c r="E42" s="75" t="str">
        <f>_xlfn.XLOOKUP(B42,'Product Hierarchy'!A:A,'Product Hierarchy'!E:E)</f>
        <v>Drywall Auto Tools</v>
      </c>
      <c r="F42" s="75" t="str">
        <f>_xlfn.XLOOKUP(B42,'Product Hierarchy'!A:A,'Product Hierarchy'!F:F)</f>
        <v>Parts</v>
      </c>
      <c r="G42" s="76">
        <v>44.97</v>
      </c>
      <c r="H42" s="76">
        <v>38.22</v>
      </c>
      <c r="I42" s="6">
        <v>26.75</v>
      </c>
      <c r="J42" s="5" t="s">
        <v>26</v>
      </c>
      <c r="K42" s="55"/>
      <c r="L42" s="24">
        <f t="shared" si="1"/>
        <v>0</v>
      </c>
      <c r="O42" s="97"/>
    </row>
    <row r="43" spans="1:15" x14ac:dyDescent="0.25">
      <c r="A43" s="104">
        <v>449589</v>
      </c>
      <c r="B43" s="4" t="s">
        <v>496</v>
      </c>
      <c r="C43" s="4" t="s">
        <v>497</v>
      </c>
      <c r="D43" s="75" t="str">
        <f>_xlfn.XLOOKUP(B43,'Product Hierarchy'!A:A,'Product Hierarchy'!C:C)</f>
        <v>LEVEL5</v>
      </c>
      <c r="E43" s="75" t="str">
        <f>_xlfn.XLOOKUP(B43,'Product Hierarchy'!A:A,'Product Hierarchy'!E:E)</f>
        <v>Drywall Auto Tools</v>
      </c>
      <c r="F43" s="75" t="str">
        <f>_xlfn.XLOOKUP(B43,'Product Hierarchy'!A:A,'Product Hierarchy'!F:F)</f>
        <v>Repair Kits</v>
      </c>
      <c r="G43" s="76">
        <v>37.99</v>
      </c>
      <c r="H43" s="76">
        <v>30.39</v>
      </c>
      <c r="I43" s="6">
        <v>21.27</v>
      </c>
      <c r="J43" s="5" t="s">
        <v>26</v>
      </c>
      <c r="K43" s="55"/>
      <c r="L43" s="24">
        <f t="shared" si="1"/>
        <v>0</v>
      </c>
      <c r="O43" s="97"/>
    </row>
    <row r="44" spans="1:15" x14ac:dyDescent="0.25">
      <c r="A44" s="104">
        <v>449590</v>
      </c>
      <c r="B44" s="4" t="s">
        <v>498</v>
      </c>
      <c r="C44" s="4" t="s">
        <v>499</v>
      </c>
      <c r="D44" s="75" t="str">
        <f>_xlfn.XLOOKUP(B44,'Product Hierarchy'!A:A,'Product Hierarchy'!C:C)</f>
        <v>LEVEL5</v>
      </c>
      <c r="E44" s="75" t="str">
        <f>_xlfn.XLOOKUP(B44,'Product Hierarchy'!A:A,'Product Hierarchy'!E:E)</f>
        <v>Drywall Auto Tools</v>
      </c>
      <c r="F44" s="75" t="str">
        <f>_xlfn.XLOOKUP(B44,'Product Hierarchy'!A:A,'Product Hierarchy'!F:F)</f>
        <v>Repair Kits</v>
      </c>
      <c r="G44" s="76">
        <v>100.96</v>
      </c>
      <c r="H44" s="76">
        <v>80.77</v>
      </c>
      <c r="I44" s="6">
        <v>56.54</v>
      </c>
      <c r="J44" s="5" t="s">
        <v>26</v>
      </c>
      <c r="K44" s="55"/>
      <c r="L44" s="24">
        <f t="shared" si="1"/>
        <v>0</v>
      </c>
      <c r="O44" s="97"/>
    </row>
    <row r="45" spans="1:15" x14ac:dyDescent="0.25">
      <c r="A45" s="104">
        <v>449591</v>
      </c>
      <c r="B45" s="4" t="s">
        <v>500</v>
      </c>
      <c r="C45" s="4" t="s">
        <v>501</v>
      </c>
      <c r="D45" s="75" t="str">
        <f>_xlfn.XLOOKUP(B45,'Product Hierarchy'!A:A,'Product Hierarchy'!C:C)</f>
        <v>LEVEL5</v>
      </c>
      <c r="E45" s="75" t="str">
        <f>_xlfn.XLOOKUP(B45,'Product Hierarchy'!A:A,'Product Hierarchy'!E:E)</f>
        <v>Drywall Auto Tools</v>
      </c>
      <c r="F45" s="75" t="str">
        <f>_xlfn.XLOOKUP(B45,'Product Hierarchy'!A:A,'Product Hierarchy'!F:F)</f>
        <v>Repair Kits</v>
      </c>
      <c r="G45" s="76">
        <v>121.96000000000001</v>
      </c>
      <c r="H45" s="76">
        <v>97.57</v>
      </c>
      <c r="I45" s="6">
        <v>68.3</v>
      </c>
      <c r="J45" s="5" t="s">
        <v>26</v>
      </c>
      <c r="K45" s="55"/>
      <c r="L45" s="24">
        <f t="shared" si="1"/>
        <v>0</v>
      </c>
      <c r="O45" s="97"/>
    </row>
    <row r="46" spans="1:15" x14ac:dyDescent="0.25">
      <c r="A46" s="104">
        <v>449592</v>
      </c>
      <c r="B46" s="4" t="s">
        <v>502</v>
      </c>
      <c r="C46" s="4" t="s">
        <v>503</v>
      </c>
      <c r="D46" s="75" t="str">
        <f>_xlfn.XLOOKUP(B46,'Product Hierarchy'!A:A,'Product Hierarchy'!C:C)</f>
        <v>LEVEL5</v>
      </c>
      <c r="E46" s="75" t="str">
        <f>_xlfn.XLOOKUP(B46,'Product Hierarchy'!A:A,'Product Hierarchy'!E:E)</f>
        <v>Drywall Auto Tools</v>
      </c>
      <c r="F46" s="75" t="str">
        <f>_xlfn.XLOOKUP(B46,'Product Hierarchy'!A:A,'Product Hierarchy'!F:F)</f>
        <v>Repair Kits</v>
      </c>
      <c r="G46" s="76">
        <v>139.96</v>
      </c>
      <c r="H46" s="76">
        <v>111.97</v>
      </c>
      <c r="I46" s="6">
        <v>78.38</v>
      </c>
      <c r="J46" s="5" t="s">
        <v>26</v>
      </c>
      <c r="K46" s="55"/>
      <c r="L46" s="24">
        <f t="shared" si="1"/>
        <v>0</v>
      </c>
      <c r="O46" s="97"/>
    </row>
    <row r="47" spans="1:15" x14ac:dyDescent="0.25">
      <c r="A47" s="104">
        <v>449593</v>
      </c>
      <c r="B47" s="4" t="s">
        <v>504</v>
      </c>
      <c r="C47" s="4" t="s">
        <v>505</v>
      </c>
      <c r="D47" s="75" t="str">
        <f>_xlfn.XLOOKUP(B47,'Product Hierarchy'!A:A,'Product Hierarchy'!C:C)</f>
        <v>LEVEL5</v>
      </c>
      <c r="E47" s="75" t="str">
        <f>_xlfn.XLOOKUP(B47,'Product Hierarchy'!A:A,'Product Hierarchy'!E:E)</f>
        <v>Drywall Auto Tools</v>
      </c>
      <c r="F47" s="75" t="str">
        <f>_xlfn.XLOOKUP(B47,'Product Hierarchy'!A:A,'Product Hierarchy'!F:F)</f>
        <v>Repair Kits</v>
      </c>
      <c r="G47" s="76">
        <v>154.96</v>
      </c>
      <c r="H47" s="76">
        <v>123.97</v>
      </c>
      <c r="I47" s="6">
        <v>86.78</v>
      </c>
      <c r="J47" s="5" t="s">
        <v>26</v>
      </c>
      <c r="K47" s="55"/>
      <c r="L47" s="24">
        <f t="shared" si="1"/>
        <v>0</v>
      </c>
      <c r="O47" s="97"/>
    </row>
    <row r="48" spans="1:15" x14ac:dyDescent="0.25">
      <c r="A48" s="104">
        <v>449594</v>
      </c>
      <c r="B48" s="75" t="s">
        <v>2874</v>
      </c>
      <c r="C48" s="75" t="s">
        <v>2875</v>
      </c>
      <c r="D48" s="75" t="str">
        <f>_xlfn.XLOOKUP(B48,'Product Hierarchy'!A:A,'Product Hierarchy'!C:C)</f>
        <v>LEVEL5</v>
      </c>
      <c r="E48" s="75" t="str">
        <f>_xlfn.XLOOKUP(B48,'Product Hierarchy'!A:A,'Product Hierarchy'!E:E)</f>
        <v>Drywall Auto Tools</v>
      </c>
      <c r="F48" s="75" t="str">
        <f>_xlfn.XLOOKUP(B48,'Product Hierarchy'!A:A,'Product Hierarchy'!F:F)</f>
        <v>Repair Kits</v>
      </c>
      <c r="G48" s="76">
        <v>95.39</v>
      </c>
      <c r="H48" s="76">
        <v>76.31</v>
      </c>
      <c r="I48" s="6">
        <v>53.42</v>
      </c>
      <c r="J48" s="5" t="s">
        <v>26</v>
      </c>
      <c r="K48" s="55"/>
      <c r="L48" s="24">
        <f t="shared" si="1"/>
        <v>0</v>
      </c>
      <c r="O48" s="97"/>
    </row>
    <row r="49" spans="1:15" x14ac:dyDescent="0.25">
      <c r="A49" s="104">
        <v>449595</v>
      </c>
      <c r="B49" s="75" t="s">
        <v>2876</v>
      </c>
      <c r="C49" s="75" t="s">
        <v>2877</v>
      </c>
      <c r="D49" s="75" t="str">
        <f>_xlfn.XLOOKUP(B49,'Product Hierarchy'!A:A,'Product Hierarchy'!C:C)</f>
        <v>LEVEL5</v>
      </c>
      <c r="E49" s="75" t="str">
        <f>_xlfn.XLOOKUP(B49,'Product Hierarchy'!A:A,'Product Hierarchy'!E:E)</f>
        <v>Drywall Auto Tools</v>
      </c>
      <c r="F49" s="75" t="str">
        <f>_xlfn.XLOOKUP(B49,'Product Hierarchy'!A:A,'Product Hierarchy'!F:F)</f>
        <v>Repair Kits</v>
      </c>
      <c r="G49" s="76">
        <v>147.34000000000003</v>
      </c>
      <c r="H49" s="76">
        <v>117.87</v>
      </c>
      <c r="I49" s="6">
        <v>82.51</v>
      </c>
      <c r="J49" s="5" t="s">
        <v>26</v>
      </c>
      <c r="K49" s="55"/>
      <c r="L49" s="24">
        <f t="shared" si="1"/>
        <v>0</v>
      </c>
      <c r="O49" s="97"/>
    </row>
    <row r="50" spans="1:15" x14ac:dyDescent="0.25">
      <c r="A50" s="104">
        <v>449596</v>
      </c>
      <c r="B50" s="4" t="s">
        <v>1354</v>
      </c>
      <c r="C50" s="4" t="s">
        <v>1355</v>
      </c>
      <c r="D50" s="75" t="str">
        <f>_xlfn.XLOOKUP(B50,'Product Hierarchy'!A:A,'Product Hierarchy'!C:C)</f>
        <v>LEVEL5</v>
      </c>
      <c r="E50" s="75" t="str">
        <f>_xlfn.XLOOKUP(B50,'Product Hierarchy'!A:A,'Product Hierarchy'!E:E)</f>
        <v>Drywall Auto Tools</v>
      </c>
      <c r="F50" s="75" t="str">
        <f>_xlfn.XLOOKUP(B50,'Product Hierarchy'!A:A,'Product Hierarchy'!F:F)</f>
        <v>Repair Kits</v>
      </c>
      <c r="G50" s="76">
        <v>168.34000000000003</v>
      </c>
      <c r="H50" s="76">
        <v>134.66999999999999</v>
      </c>
      <c r="I50" s="6">
        <v>94.27</v>
      </c>
      <c r="J50" s="5" t="s">
        <v>26</v>
      </c>
      <c r="K50" s="55"/>
      <c r="L50" s="24">
        <f t="shared" si="1"/>
        <v>0</v>
      </c>
      <c r="O50" s="97"/>
    </row>
    <row r="51" spans="1:15" x14ac:dyDescent="0.25">
      <c r="A51" s="104">
        <v>449597</v>
      </c>
      <c r="B51" s="4" t="s">
        <v>1356</v>
      </c>
      <c r="C51" s="4" t="s">
        <v>1357</v>
      </c>
      <c r="D51" s="75" t="str">
        <f>_xlfn.XLOOKUP(B51,'Product Hierarchy'!A:A,'Product Hierarchy'!C:C)</f>
        <v>LEVEL5</v>
      </c>
      <c r="E51" s="75" t="str">
        <f>_xlfn.XLOOKUP(B51,'Product Hierarchy'!A:A,'Product Hierarchy'!E:E)</f>
        <v>Drywall Auto Tools</v>
      </c>
      <c r="F51" s="75" t="str">
        <f>_xlfn.XLOOKUP(B51,'Product Hierarchy'!A:A,'Product Hierarchy'!F:F)</f>
        <v>Repair Kits</v>
      </c>
      <c r="G51" s="76">
        <v>186.34</v>
      </c>
      <c r="H51" s="76">
        <v>149.07</v>
      </c>
      <c r="I51" s="6">
        <v>104.35</v>
      </c>
      <c r="J51" s="5" t="s">
        <v>26</v>
      </c>
      <c r="K51" s="55"/>
      <c r="L51" s="24">
        <f t="shared" si="1"/>
        <v>0</v>
      </c>
      <c r="O51" s="97"/>
    </row>
    <row r="52" spans="1:15" x14ac:dyDescent="0.25">
      <c r="A52" s="104">
        <v>449598</v>
      </c>
      <c r="B52" s="75" t="s">
        <v>2878</v>
      </c>
      <c r="C52" s="75" t="s">
        <v>2879</v>
      </c>
      <c r="D52" s="75" t="str">
        <f>_xlfn.XLOOKUP(B52,'Product Hierarchy'!A:A,'Product Hierarchy'!C:C)</f>
        <v>LEVEL5</v>
      </c>
      <c r="E52" s="75" t="str">
        <f>_xlfn.XLOOKUP(B52,'Product Hierarchy'!A:A,'Product Hierarchy'!E:E)</f>
        <v>Drywall Auto Tools</v>
      </c>
      <c r="F52" s="75" t="str">
        <f>_xlfn.XLOOKUP(B52,'Product Hierarchy'!A:A,'Product Hierarchy'!F:F)</f>
        <v>Repair Kits</v>
      </c>
      <c r="G52" s="76">
        <v>201.34</v>
      </c>
      <c r="H52" s="76">
        <v>161.07</v>
      </c>
      <c r="I52" s="6">
        <v>112.75</v>
      </c>
      <c r="J52" s="5" t="s">
        <v>26</v>
      </c>
      <c r="K52" s="55"/>
      <c r="L52" s="24">
        <f t="shared" si="1"/>
        <v>0</v>
      </c>
      <c r="O52" s="97"/>
    </row>
    <row r="53" spans="1:15" x14ac:dyDescent="0.25">
      <c r="A53" s="104">
        <v>449599</v>
      </c>
      <c r="B53" s="4" t="s">
        <v>506</v>
      </c>
      <c r="C53" s="4" t="s">
        <v>507</v>
      </c>
      <c r="D53" s="75" t="str">
        <f>_xlfn.XLOOKUP(B53,'Product Hierarchy'!A:A,'Product Hierarchy'!C:C)</f>
        <v>LEVEL5</v>
      </c>
      <c r="E53" s="75" t="str">
        <f>_xlfn.XLOOKUP(B53,'Product Hierarchy'!A:A,'Product Hierarchy'!E:E)</f>
        <v>Drywall Auto Tools</v>
      </c>
      <c r="F53" s="75" t="str">
        <f>_xlfn.XLOOKUP(B53,'Product Hierarchy'!A:A,'Product Hierarchy'!F:F)</f>
        <v>Repair Kits</v>
      </c>
      <c r="G53" s="76">
        <v>48.92</v>
      </c>
      <c r="H53" s="76">
        <v>39.14</v>
      </c>
      <c r="I53" s="6">
        <v>27.4</v>
      </c>
      <c r="J53" s="5" t="s">
        <v>26</v>
      </c>
      <c r="K53" s="55"/>
      <c r="L53" s="24">
        <f t="shared" si="1"/>
        <v>0</v>
      </c>
      <c r="O53" s="97"/>
    </row>
    <row r="54" spans="1:15" x14ac:dyDescent="0.25">
      <c r="A54" s="104">
        <v>449600</v>
      </c>
      <c r="B54" s="4" t="s">
        <v>508</v>
      </c>
      <c r="C54" s="4" t="s">
        <v>509</v>
      </c>
      <c r="D54" s="75" t="str">
        <f>_xlfn.XLOOKUP(B54,'Product Hierarchy'!A:A,'Product Hierarchy'!C:C)</f>
        <v>LEVEL5</v>
      </c>
      <c r="E54" s="75" t="str">
        <f>_xlfn.XLOOKUP(B54,'Product Hierarchy'!A:A,'Product Hierarchy'!E:E)</f>
        <v>Drywall Auto Tools</v>
      </c>
      <c r="F54" s="75" t="str">
        <f>_xlfn.XLOOKUP(B54,'Product Hierarchy'!A:A,'Product Hierarchy'!F:F)</f>
        <v>Repair Kits</v>
      </c>
      <c r="G54" s="76">
        <v>51.410000000000004</v>
      </c>
      <c r="H54" s="76">
        <v>41.13</v>
      </c>
      <c r="I54" s="6">
        <v>28.79</v>
      </c>
      <c r="J54" s="5" t="s">
        <v>26</v>
      </c>
      <c r="K54" s="55"/>
      <c r="L54" s="24">
        <f t="shared" si="1"/>
        <v>0</v>
      </c>
      <c r="O54" s="97"/>
    </row>
    <row r="55" spans="1:15" x14ac:dyDescent="0.25">
      <c r="A55" s="104">
        <v>449601</v>
      </c>
      <c r="B55" s="4" t="s">
        <v>510</v>
      </c>
      <c r="C55" s="4" t="s">
        <v>511</v>
      </c>
      <c r="D55" s="75" t="str">
        <f>_xlfn.XLOOKUP(B55,'Product Hierarchy'!A:A,'Product Hierarchy'!C:C)</f>
        <v>LEVEL5</v>
      </c>
      <c r="E55" s="75" t="str">
        <f>_xlfn.XLOOKUP(B55,'Product Hierarchy'!A:A,'Product Hierarchy'!E:E)</f>
        <v>Drywall Auto Tools</v>
      </c>
      <c r="F55" s="75" t="str">
        <f>_xlfn.XLOOKUP(B55,'Product Hierarchy'!A:A,'Product Hierarchy'!F:F)</f>
        <v>Repair Kits</v>
      </c>
      <c r="G55" s="76">
        <v>62.91</v>
      </c>
      <c r="H55" s="76">
        <v>50.33</v>
      </c>
      <c r="I55" s="6">
        <v>35.229999999999997</v>
      </c>
      <c r="J55" s="5" t="s">
        <v>26</v>
      </c>
      <c r="K55" s="55"/>
      <c r="L55" s="24">
        <f t="shared" si="1"/>
        <v>0</v>
      </c>
      <c r="O55" s="97"/>
    </row>
    <row r="56" spans="1:15" x14ac:dyDescent="0.25">
      <c r="A56" s="104">
        <v>449602</v>
      </c>
      <c r="B56" s="4" t="s">
        <v>512</v>
      </c>
      <c r="C56" s="4" t="s">
        <v>513</v>
      </c>
      <c r="D56" s="75" t="str">
        <f>_xlfn.XLOOKUP(B56,'Product Hierarchy'!A:A,'Product Hierarchy'!C:C)</f>
        <v>LEVEL5</v>
      </c>
      <c r="E56" s="75" t="str">
        <f>_xlfn.XLOOKUP(B56,'Product Hierarchy'!A:A,'Product Hierarchy'!E:E)</f>
        <v>Drywall Auto Tools</v>
      </c>
      <c r="F56" s="75" t="str">
        <f>_xlfn.XLOOKUP(B56,'Product Hierarchy'!A:A,'Product Hierarchy'!F:F)</f>
        <v>Repair Kits</v>
      </c>
      <c r="G56" s="76">
        <v>62.910000000000004</v>
      </c>
      <c r="H56" s="76">
        <v>50.33</v>
      </c>
      <c r="I56" s="6">
        <v>35.229999999999997</v>
      </c>
      <c r="J56" s="5" t="s">
        <v>26</v>
      </c>
      <c r="K56" s="55"/>
      <c r="L56" s="24">
        <f t="shared" si="1"/>
        <v>0</v>
      </c>
      <c r="O56" s="97"/>
    </row>
    <row r="57" spans="1:15" x14ac:dyDescent="0.25">
      <c r="A57" s="104">
        <v>449603</v>
      </c>
      <c r="B57" s="4" t="s">
        <v>514</v>
      </c>
      <c r="C57" s="4" t="s">
        <v>515</v>
      </c>
      <c r="D57" s="75" t="str">
        <f>_xlfn.XLOOKUP(B57,'Product Hierarchy'!A:A,'Product Hierarchy'!C:C)</f>
        <v>LEVEL5</v>
      </c>
      <c r="E57" s="75" t="str">
        <f>_xlfn.XLOOKUP(B57,'Product Hierarchy'!A:A,'Product Hierarchy'!E:E)</f>
        <v>Drywall Auto Tools</v>
      </c>
      <c r="F57" s="75" t="str">
        <f>_xlfn.XLOOKUP(B57,'Product Hierarchy'!A:A,'Product Hierarchy'!F:F)</f>
        <v>Repair Kits</v>
      </c>
      <c r="G57" s="76">
        <v>52.88000000000001</v>
      </c>
      <c r="H57" s="76">
        <v>42.3</v>
      </c>
      <c r="I57" s="6">
        <v>29.61</v>
      </c>
      <c r="J57" s="5" t="s">
        <v>26</v>
      </c>
      <c r="K57" s="55"/>
      <c r="L57" s="24">
        <f t="shared" si="1"/>
        <v>0</v>
      </c>
      <c r="O57" s="97"/>
    </row>
    <row r="58" spans="1:15" x14ac:dyDescent="0.25">
      <c r="A58" s="104">
        <v>448566</v>
      </c>
      <c r="B58" s="75" t="s">
        <v>516</v>
      </c>
      <c r="C58" s="75" t="s">
        <v>517</v>
      </c>
      <c r="D58" s="75" t="str">
        <f>_xlfn.XLOOKUP(B58,'Product Hierarchy'!A:A,'Product Hierarchy'!C:C)</f>
        <v>LEVEL5</v>
      </c>
      <c r="E58" s="75" t="str">
        <f>_xlfn.XLOOKUP(B58,'Product Hierarchy'!A:A,'Product Hierarchy'!E:E)</f>
        <v>Drywall Auto Tools</v>
      </c>
      <c r="F58" s="75" t="str">
        <f>_xlfn.XLOOKUP(B58,'Product Hierarchy'!A:A,'Product Hierarchy'!F:F)</f>
        <v>Parts</v>
      </c>
      <c r="G58" s="76">
        <v>129.97999999999999</v>
      </c>
      <c r="H58" s="76">
        <v>110.48</v>
      </c>
      <c r="I58" s="6">
        <v>77.34</v>
      </c>
      <c r="J58" s="5" t="s">
        <v>26</v>
      </c>
      <c r="K58" s="55"/>
      <c r="L58" s="24">
        <f t="shared" si="1"/>
        <v>0</v>
      </c>
      <c r="O58" s="97"/>
    </row>
    <row r="59" spans="1:15" x14ac:dyDescent="0.25">
      <c r="A59" s="104">
        <v>449604</v>
      </c>
      <c r="B59" s="4" t="s">
        <v>518</v>
      </c>
      <c r="C59" s="4" t="s">
        <v>519</v>
      </c>
      <c r="D59" s="75" t="str">
        <f>_xlfn.XLOOKUP(B59,'Product Hierarchy'!A:A,'Product Hierarchy'!C:C)</f>
        <v>LEVEL5</v>
      </c>
      <c r="E59" s="75" t="str">
        <f>_xlfn.XLOOKUP(B59,'Product Hierarchy'!A:A,'Product Hierarchy'!E:E)</f>
        <v>Drywall Auto Tools</v>
      </c>
      <c r="F59" s="75" t="str">
        <f>_xlfn.XLOOKUP(B59,'Product Hierarchy'!A:A,'Product Hierarchy'!F:F)</f>
        <v>Repair Kits</v>
      </c>
      <c r="G59" s="76">
        <v>83.99</v>
      </c>
      <c r="H59" s="76">
        <v>67.19</v>
      </c>
      <c r="I59" s="6">
        <v>47.03</v>
      </c>
      <c r="J59" s="5" t="s">
        <v>26</v>
      </c>
      <c r="K59" s="55"/>
      <c r="L59" s="24">
        <f t="shared" si="1"/>
        <v>0</v>
      </c>
      <c r="O59" s="97"/>
    </row>
    <row r="60" spans="1:15" x14ac:dyDescent="0.25">
      <c r="A60" s="104">
        <v>448567</v>
      </c>
      <c r="B60" s="75" t="s">
        <v>1098</v>
      </c>
      <c r="C60" s="75" t="s">
        <v>1099</v>
      </c>
      <c r="D60" s="75" t="str">
        <f>_xlfn.XLOOKUP(B60,'Product Hierarchy'!A:A,'Product Hierarchy'!C:C)</f>
        <v>LEVEL5</v>
      </c>
      <c r="E60" s="75" t="str">
        <f>_xlfn.XLOOKUP(B60,'Product Hierarchy'!A:A,'Product Hierarchy'!E:E)</f>
        <v>Drywall Auto Tools</v>
      </c>
      <c r="F60" s="75" t="str">
        <f>_xlfn.XLOOKUP(B60,'Product Hierarchy'!A:A,'Product Hierarchy'!F:F)</f>
        <v>Parts</v>
      </c>
      <c r="G60" s="76">
        <v>82.99</v>
      </c>
      <c r="H60" s="76">
        <v>70.540000000000006</v>
      </c>
      <c r="I60" s="6">
        <v>49.38</v>
      </c>
      <c r="J60" s="5" t="s">
        <v>26</v>
      </c>
      <c r="K60" s="55"/>
      <c r="L60" s="24">
        <f t="shared" si="1"/>
        <v>0</v>
      </c>
      <c r="O60" s="97"/>
    </row>
    <row r="61" spans="1:15" x14ac:dyDescent="0.25">
      <c r="A61" s="104">
        <v>448568</v>
      </c>
      <c r="B61" s="75" t="s">
        <v>747</v>
      </c>
      <c r="C61" s="75" t="s">
        <v>748</v>
      </c>
      <c r="D61" s="75" t="str">
        <f>_xlfn.XLOOKUP(B61,'Product Hierarchy'!A:A,'Product Hierarchy'!C:C)</f>
        <v>LEVEL5</v>
      </c>
      <c r="E61" s="75" t="str">
        <f>_xlfn.XLOOKUP(B61,'Product Hierarchy'!A:A,'Product Hierarchy'!E:E)</f>
        <v>Drywall Auto Tools</v>
      </c>
      <c r="F61" s="75" t="str">
        <f>_xlfn.XLOOKUP(B61,'Product Hierarchy'!A:A,'Product Hierarchy'!F:F)</f>
        <v>Parts</v>
      </c>
      <c r="G61" s="76">
        <v>132.83999999999997</v>
      </c>
      <c r="H61" s="76">
        <v>106.27</v>
      </c>
      <c r="I61" s="6">
        <v>74.39</v>
      </c>
      <c r="J61" s="5" t="s">
        <v>26</v>
      </c>
      <c r="K61" s="55"/>
      <c r="L61" s="24">
        <f t="shared" si="1"/>
        <v>0</v>
      </c>
      <c r="O61" s="97"/>
    </row>
    <row r="62" spans="1:15" x14ac:dyDescent="0.25">
      <c r="A62" s="104">
        <v>449605</v>
      </c>
      <c r="B62" s="75" t="s">
        <v>749</v>
      </c>
      <c r="C62" s="75" t="s">
        <v>750</v>
      </c>
      <c r="D62" s="75" t="str">
        <f>_xlfn.XLOOKUP(B62,'Product Hierarchy'!A:A,'Product Hierarchy'!C:C)</f>
        <v>LEVEL5</v>
      </c>
      <c r="E62" s="75" t="str">
        <f>_xlfn.XLOOKUP(B62,'Product Hierarchy'!A:A,'Product Hierarchy'!E:E)</f>
        <v>Drywall Auto Tools</v>
      </c>
      <c r="F62" s="75" t="str">
        <f>_xlfn.XLOOKUP(B62,'Product Hierarchy'!A:A,'Product Hierarchy'!F:F)</f>
        <v>Repair Kits</v>
      </c>
      <c r="G62" s="76">
        <v>54.95</v>
      </c>
      <c r="H62" s="76">
        <v>43.96</v>
      </c>
      <c r="I62" s="6">
        <v>30.77</v>
      </c>
      <c r="J62" s="5" t="s">
        <v>26</v>
      </c>
      <c r="K62" s="55"/>
      <c r="L62" s="24">
        <f t="shared" si="1"/>
        <v>0</v>
      </c>
      <c r="O62" s="97"/>
    </row>
    <row r="63" spans="1:15" x14ac:dyDescent="0.25">
      <c r="A63" s="104">
        <v>449606</v>
      </c>
      <c r="B63" s="75" t="s">
        <v>751</v>
      </c>
      <c r="C63" s="75" t="s">
        <v>752</v>
      </c>
      <c r="D63" s="75" t="str">
        <f>_xlfn.XLOOKUP(B63,'Product Hierarchy'!A:A,'Product Hierarchy'!C:C)</f>
        <v>LEVEL5</v>
      </c>
      <c r="E63" s="75" t="str">
        <f>_xlfn.XLOOKUP(B63,'Product Hierarchy'!A:A,'Product Hierarchy'!E:E)</f>
        <v>Drywall Auto Tools</v>
      </c>
      <c r="F63" s="75" t="str">
        <f>_xlfn.XLOOKUP(B63,'Product Hierarchy'!A:A,'Product Hierarchy'!F:F)</f>
        <v>Repair Kits</v>
      </c>
      <c r="G63" s="76">
        <v>43.93</v>
      </c>
      <c r="H63" s="76">
        <v>35.14</v>
      </c>
      <c r="I63" s="6">
        <v>24.6</v>
      </c>
      <c r="J63" s="5" t="s">
        <v>26</v>
      </c>
      <c r="K63" s="55"/>
      <c r="L63" s="24">
        <f t="shared" si="1"/>
        <v>0</v>
      </c>
      <c r="O63" s="97"/>
    </row>
    <row r="64" spans="1:15" x14ac:dyDescent="0.25">
      <c r="A64" s="104">
        <v>449186</v>
      </c>
      <c r="B64" s="75" t="s">
        <v>753</v>
      </c>
      <c r="C64" s="75" t="s">
        <v>754</v>
      </c>
      <c r="D64" s="75" t="str">
        <f>_xlfn.XLOOKUP(B64,'Product Hierarchy'!A:A,'Product Hierarchy'!C:C)</f>
        <v>LEVEL5</v>
      </c>
      <c r="E64" s="75" t="str">
        <f>_xlfn.XLOOKUP(B64,'Product Hierarchy'!A:A,'Product Hierarchy'!E:E)</f>
        <v>Drywall Auto Tools</v>
      </c>
      <c r="F64" s="75" t="str">
        <f>_xlfn.XLOOKUP(B64,'Product Hierarchy'!A:A,'Product Hierarchy'!F:F)</f>
        <v>Parts</v>
      </c>
      <c r="G64" s="76">
        <v>67.989999999999995</v>
      </c>
      <c r="H64" s="76">
        <v>57.79</v>
      </c>
      <c r="I64" s="6">
        <v>40.450000000000003</v>
      </c>
      <c r="J64" s="5" t="s">
        <v>26</v>
      </c>
      <c r="K64" s="55"/>
      <c r="L64" s="24">
        <f t="shared" si="1"/>
        <v>0</v>
      </c>
      <c r="O64" s="97"/>
    </row>
    <row r="65" spans="1:15" x14ac:dyDescent="0.25">
      <c r="A65" s="104">
        <v>448569</v>
      </c>
      <c r="B65" s="75" t="s">
        <v>755</v>
      </c>
      <c r="C65" s="75" t="s">
        <v>756</v>
      </c>
      <c r="D65" s="75" t="str">
        <f>_xlfn.XLOOKUP(B65,'Product Hierarchy'!A:A,'Product Hierarchy'!C:C)</f>
        <v>LEVEL5</v>
      </c>
      <c r="E65" s="75" t="str">
        <f>_xlfn.XLOOKUP(B65,'Product Hierarchy'!A:A,'Product Hierarchy'!E:E)</f>
        <v>Drywall Auto Tools</v>
      </c>
      <c r="F65" s="75" t="str">
        <f>_xlfn.XLOOKUP(B65,'Product Hierarchy'!A:A,'Product Hierarchy'!F:F)</f>
        <v>Parts</v>
      </c>
      <c r="G65" s="76">
        <v>270.49</v>
      </c>
      <c r="H65" s="76">
        <v>229.92</v>
      </c>
      <c r="I65" s="6">
        <v>160.94</v>
      </c>
      <c r="J65" s="5" t="s">
        <v>26</v>
      </c>
      <c r="K65" s="55"/>
      <c r="L65" s="24">
        <f t="shared" si="1"/>
        <v>0</v>
      </c>
      <c r="O65" s="97"/>
    </row>
    <row r="66" spans="1:15" x14ac:dyDescent="0.25">
      <c r="A66" s="104">
        <v>449617</v>
      </c>
      <c r="B66" s="75" t="s">
        <v>2880</v>
      </c>
      <c r="C66" s="75" t="s">
        <v>2881</v>
      </c>
      <c r="D66" s="75" t="str">
        <f>_xlfn.XLOOKUP(B66,'Product Hierarchy'!A:A,'Product Hierarchy'!C:C)</f>
        <v>LEVEL5</v>
      </c>
      <c r="E66" s="75" t="str">
        <f>_xlfn.XLOOKUP(B66,'Product Hierarchy'!A:A,'Product Hierarchy'!E:E)</f>
        <v>Drywall Auto Tools</v>
      </c>
      <c r="F66" s="75" t="str">
        <f>_xlfn.XLOOKUP(B66,'Product Hierarchy'!A:A,'Product Hierarchy'!F:F)</f>
        <v>Repair Kits</v>
      </c>
      <c r="G66" s="76">
        <v>37.99</v>
      </c>
      <c r="H66" s="76">
        <v>30.39</v>
      </c>
      <c r="I66" s="6">
        <v>21.27</v>
      </c>
      <c r="J66" s="5" t="s">
        <v>26</v>
      </c>
      <c r="K66" s="55"/>
      <c r="L66" s="24">
        <f t="shared" si="1"/>
        <v>0</v>
      </c>
      <c r="O66" s="97"/>
    </row>
    <row r="67" spans="1:15" x14ac:dyDescent="0.25">
      <c r="A67" s="104">
        <v>449618</v>
      </c>
      <c r="B67" s="75" t="s">
        <v>2882</v>
      </c>
      <c r="C67" s="75" t="s">
        <v>2883</v>
      </c>
      <c r="D67" s="75" t="str">
        <f>_xlfn.XLOOKUP(B67,'Product Hierarchy'!A:A,'Product Hierarchy'!C:C)</f>
        <v>LEVEL5</v>
      </c>
      <c r="E67" s="75" t="str">
        <f>_xlfn.XLOOKUP(B67,'Product Hierarchy'!A:A,'Product Hierarchy'!E:E)</f>
        <v>Drywall Auto Tools</v>
      </c>
      <c r="F67" s="75" t="str">
        <f>_xlfn.XLOOKUP(B67,'Product Hierarchy'!A:A,'Product Hierarchy'!F:F)</f>
        <v>Repair Kits</v>
      </c>
      <c r="G67" s="76">
        <v>45.49</v>
      </c>
      <c r="H67" s="76">
        <v>36.39</v>
      </c>
      <c r="I67" s="6">
        <v>25.47</v>
      </c>
      <c r="J67" s="5" t="s">
        <v>26</v>
      </c>
      <c r="K67" s="55"/>
      <c r="L67" s="24">
        <f t="shared" si="1"/>
        <v>0</v>
      </c>
      <c r="O67" s="97"/>
    </row>
    <row r="68" spans="1:15" x14ac:dyDescent="0.25">
      <c r="A68" s="104">
        <v>449619</v>
      </c>
      <c r="B68" s="75" t="s">
        <v>2884</v>
      </c>
      <c r="C68" s="75" t="s">
        <v>2885</v>
      </c>
      <c r="D68" s="75" t="str">
        <f>_xlfn.XLOOKUP(B68,'Product Hierarchy'!A:A,'Product Hierarchy'!C:C)</f>
        <v>LEVEL5</v>
      </c>
      <c r="E68" s="75" t="str">
        <f>_xlfn.XLOOKUP(B68,'Product Hierarchy'!A:A,'Product Hierarchy'!E:E)</f>
        <v>Drywall Auto Tools</v>
      </c>
      <c r="F68" s="75" t="str">
        <f>_xlfn.XLOOKUP(B68,'Product Hierarchy'!A:A,'Product Hierarchy'!F:F)</f>
        <v>Repair Kits</v>
      </c>
      <c r="G68" s="76">
        <v>52.99</v>
      </c>
      <c r="H68" s="76">
        <v>42.39</v>
      </c>
      <c r="I68" s="6">
        <v>29.67</v>
      </c>
      <c r="J68" s="5" t="s">
        <v>26</v>
      </c>
      <c r="K68" s="55"/>
      <c r="L68" s="24">
        <f t="shared" si="1"/>
        <v>0</v>
      </c>
      <c r="O68" s="97"/>
    </row>
    <row r="69" spans="1:15" x14ac:dyDescent="0.25">
      <c r="A69" s="104">
        <v>449620</v>
      </c>
      <c r="B69" s="75" t="s">
        <v>2886</v>
      </c>
      <c r="C69" s="75" t="s">
        <v>2887</v>
      </c>
      <c r="D69" s="75" t="str">
        <f>_xlfn.XLOOKUP(B69,'Product Hierarchy'!A:A,'Product Hierarchy'!C:C)</f>
        <v>LEVEL5</v>
      </c>
      <c r="E69" s="75" t="str">
        <f>_xlfn.XLOOKUP(B69,'Product Hierarchy'!A:A,'Product Hierarchy'!E:E)</f>
        <v>Drywall Auto Tools</v>
      </c>
      <c r="F69" s="75" t="str">
        <f>_xlfn.XLOOKUP(B69,'Product Hierarchy'!A:A,'Product Hierarchy'!F:F)</f>
        <v>Repair Kits</v>
      </c>
      <c r="G69" s="76">
        <v>60.49</v>
      </c>
      <c r="H69" s="76">
        <v>48.38</v>
      </c>
      <c r="I69" s="6">
        <v>33.869999999999997</v>
      </c>
      <c r="J69" s="5" t="s">
        <v>26</v>
      </c>
      <c r="K69" s="55"/>
      <c r="L69" s="24">
        <f t="shared" si="1"/>
        <v>0</v>
      </c>
      <c r="O69" s="97"/>
    </row>
    <row r="70" spans="1:15" x14ac:dyDescent="0.25">
      <c r="A70" s="104">
        <v>448540</v>
      </c>
      <c r="B70" s="75" t="s">
        <v>757</v>
      </c>
      <c r="C70" s="75" t="s">
        <v>758</v>
      </c>
      <c r="D70" s="75" t="str">
        <f>_xlfn.XLOOKUP(B70,'Product Hierarchy'!A:A,'Product Hierarchy'!C:C)</f>
        <v>DEWALT</v>
      </c>
      <c r="E70" s="75" t="str">
        <f>_xlfn.XLOOKUP(B70,'Product Hierarchy'!A:A,'Product Hierarchy'!E:E)</f>
        <v>Drywall Auto Tools</v>
      </c>
      <c r="F70" s="75" t="str">
        <f>_xlfn.XLOOKUP(B70,'Product Hierarchy'!A:A,'Product Hierarchy'!F:F)</f>
        <v>Repair Kits</v>
      </c>
      <c r="G70" s="76">
        <v>41.45</v>
      </c>
      <c r="H70" s="76">
        <v>33.159999999999997</v>
      </c>
      <c r="I70" s="6">
        <v>23.21</v>
      </c>
      <c r="J70" s="5" t="s">
        <v>26</v>
      </c>
      <c r="K70" s="55"/>
      <c r="L70" s="24">
        <f t="shared" si="1"/>
        <v>0</v>
      </c>
      <c r="O70" s="97"/>
    </row>
    <row r="71" spans="1:15" x14ac:dyDescent="0.25">
      <c r="A71" s="104">
        <v>449203</v>
      </c>
      <c r="B71" s="75" t="s">
        <v>759</v>
      </c>
      <c r="C71" s="75" t="s">
        <v>760</v>
      </c>
      <c r="D71" s="75" t="str">
        <f>_xlfn.XLOOKUP(B71,'Product Hierarchy'!A:A,'Product Hierarchy'!C:C)</f>
        <v>DEWALT</v>
      </c>
      <c r="E71" s="75" t="str">
        <f>_xlfn.XLOOKUP(B71,'Product Hierarchy'!A:A,'Product Hierarchy'!E:E)</f>
        <v>Drywall Auto Tools</v>
      </c>
      <c r="F71" s="75" t="str">
        <f>_xlfn.XLOOKUP(B71,'Product Hierarchy'!A:A,'Product Hierarchy'!F:F)</f>
        <v>Parts</v>
      </c>
      <c r="G71" s="76">
        <v>42.49</v>
      </c>
      <c r="H71" s="76">
        <v>33.99</v>
      </c>
      <c r="I71" s="6">
        <v>23.79</v>
      </c>
      <c r="J71" s="5" t="s">
        <v>26</v>
      </c>
      <c r="K71" s="55"/>
      <c r="L71" s="24">
        <f t="shared" si="1"/>
        <v>0</v>
      </c>
      <c r="O71" s="97"/>
    </row>
    <row r="72" spans="1:15" x14ac:dyDescent="0.25">
      <c r="A72" s="104">
        <v>449204</v>
      </c>
      <c r="B72" s="75" t="s">
        <v>761</v>
      </c>
      <c r="C72" s="75" t="s">
        <v>762</v>
      </c>
      <c r="D72" s="75" t="str">
        <f>_xlfn.XLOOKUP(B72,'Product Hierarchy'!A:A,'Product Hierarchy'!C:C)</f>
        <v>DEWALT</v>
      </c>
      <c r="E72" s="75" t="str">
        <f>_xlfn.XLOOKUP(B72,'Product Hierarchy'!A:A,'Product Hierarchy'!E:E)</f>
        <v>Drywall Auto Tools</v>
      </c>
      <c r="F72" s="75" t="str">
        <f>_xlfn.XLOOKUP(B72,'Product Hierarchy'!A:A,'Product Hierarchy'!F:F)</f>
        <v>Parts</v>
      </c>
      <c r="G72" s="76">
        <v>42.49</v>
      </c>
      <c r="H72" s="76">
        <v>33.99</v>
      </c>
      <c r="I72" s="6">
        <v>23.79</v>
      </c>
      <c r="J72" s="5" t="s">
        <v>26</v>
      </c>
      <c r="K72" s="55"/>
      <c r="L72" s="24">
        <f t="shared" si="1"/>
        <v>0</v>
      </c>
      <c r="O72" s="97"/>
    </row>
    <row r="73" spans="1:15" ht="15.75" thickBot="1" x14ac:dyDescent="0.3">
      <c r="A73" s="104">
        <v>449205</v>
      </c>
      <c r="B73" s="75" t="s">
        <v>763</v>
      </c>
      <c r="C73" s="75" t="s">
        <v>764</v>
      </c>
      <c r="D73" s="75" t="str">
        <f>_xlfn.XLOOKUP(B73,'Product Hierarchy'!A:A,'Product Hierarchy'!C:C)</f>
        <v>DEWALT</v>
      </c>
      <c r="E73" s="75" t="str">
        <f>_xlfn.XLOOKUP(B73,'Product Hierarchy'!A:A,'Product Hierarchy'!E:E)</f>
        <v>Drywall Auto Tools</v>
      </c>
      <c r="F73" s="75" t="str">
        <f>_xlfn.XLOOKUP(B73,'Product Hierarchy'!A:A,'Product Hierarchy'!F:F)</f>
        <v>Parts</v>
      </c>
      <c r="G73" s="76">
        <v>60.49</v>
      </c>
      <c r="H73" s="76">
        <v>48.39</v>
      </c>
      <c r="I73" s="6">
        <v>33.869999999999997</v>
      </c>
      <c r="J73" s="5" t="s">
        <v>26</v>
      </c>
      <c r="K73" s="55"/>
      <c r="L73" s="24">
        <f t="shared" ref="L73" si="2">K73*I73</f>
        <v>0</v>
      </c>
      <c r="O73" s="97"/>
    </row>
    <row r="74" spans="1:15" ht="15.75" thickBot="1" x14ac:dyDescent="0.3">
      <c r="A74" s="10"/>
      <c r="B74" s="11"/>
      <c r="C74" s="11"/>
      <c r="D74" s="11"/>
      <c r="E74" s="11"/>
      <c r="F74" s="11"/>
      <c r="G74" s="11"/>
      <c r="H74" s="11"/>
      <c r="I74" s="56"/>
      <c r="J74" s="57" t="s">
        <v>447</v>
      </c>
      <c r="K74" s="57">
        <f>SUM(K10:K73)</f>
        <v>0</v>
      </c>
      <c r="L74" s="13">
        <f>SUM(L10:L73)</f>
        <v>0</v>
      </c>
    </row>
    <row r="75" spans="1:15" ht="15.75" x14ac:dyDescent="0.25">
      <c r="A75" s="54"/>
    </row>
  </sheetData>
  <sheetProtection algorithmName="SHA-512" hashValue="Ox8Pit5JIm34A2n/kmFoYfU/ss91ztHS+qAKnrW19UTdq7Pxclv++hY9v3zcf6D2AnttM4fDpmfm8ry9E/7Qpw==" saltValue="/2F82ma9whQxkq3TGhYKMw==" spinCount="100000" sheet="1" selectLockedCells="1"/>
  <autoFilter ref="B8:L61" xr:uid="{29D74712-7065-4B72-A3D6-134788BDB0C4}">
    <sortState xmlns:xlrd2="http://schemas.microsoft.com/office/spreadsheetml/2017/richdata2" ref="B9:L74">
      <sortCondition ref="B8:B61"/>
    </sortState>
  </autoFilter>
  <sortState xmlns:xlrd2="http://schemas.microsoft.com/office/spreadsheetml/2017/richdata2" ref="B9:L73">
    <sortCondition ref="D9:D73"/>
    <sortCondition ref="E9:E73"/>
    <sortCondition ref="F9:F73"/>
    <sortCondition ref="B9:B73"/>
  </sortState>
  <mergeCells count="3">
    <mergeCell ref="F1:H1"/>
    <mergeCell ref="A5:C5"/>
    <mergeCell ref="A6:C6"/>
  </mergeCells>
  <pageMargins left="0.7" right="0.7" top="0.75" bottom="0.75" header="0.3" footer="0.3"/>
  <pageSetup scale="80" fitToHeight="0" orientation="portrait" r:id="rId1"/>
  <headerFooter>
    <oddFooter>&amp;C&amp;P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8EB8-A0E4-4671-ABF4-F54CD924D543}">
  <sheetPr>
    <pageSetUpPr fitToPage="1"/>
  </sheetPr>
  <dimension ref="A1:L25"/>
  <sheetViews>
    <sheetView workbookViewId="0">
      <pane ySplit="8" topLeftCell="A9" activePane="bottomLeft" state="frozen"/>
      <selection pane="bottomLeft" activeCell="K9" sqref="K9"/>
    </sheetView>
  </sheetViews>
  <sheetFormatPr defaultRowHeight="15" x14ac:dyDescent="0.25"/>
  <cols>
    <col min="2" max="2" width="7.140625" bestFit="1" customWidth="1"/>
    <col min="3" max="3" width="32.5703125" bestFit="1" customWidth="1"/>
    <col min="4" max="4" width="7.42578125" bestFit="1" customWidth="1"/>
    <col min="5" max="5" width="13.28515625" bestFit="1" customWidth="1"/>
    <col min="6" max="6" width="12.42578125" bestFit="1" customWidth="1"/>
    <col min="7" max="7" width="12.42578125" customWidth="1"/>
    <col min="8" max="8" width="13.5703125" bestFit="1" customWidth="1"/>
    <col min="9" max="9" width="13.5703125" customWidth="1"/>
    <col min="10" max="10" width="11.140625" bestFit="1" customWidth="1"/>
    <col min="11" max="11" width="13.140625" bestFit="1" customWidth="1"/>
    <col min="12" max="12" width="14.140625" customWidth="1"/>
  </cols>
  <sheetData>
    <row r="1" spans="1:12" x14ac:dyDescent="0.25">
      <c r="A1" s="25" t="s">
        <v>298</v>
      </c>
      <c r="B1" s="25"/>
      <c r="C1" s="25"/>
      <c r="D1" s="25"/>
      <c r="E1" s="25"/>
      <c r="F1" s="61" t="s">
        <v>17</v>
      </c>
      <c r="G1" s="61"/>
      <c r="H1" s="61"/>
      <c r="I1" s="25"/>
      <c r="J1" s="25"/>
      <c r="K1" s="25"/>
      <c r="L1" s="25"/>
    </row>
    <row r="2" spans="1:12" x14ac:dyDescent="0.25">
      <c r="A2" s="25"/>
      <c r="B2" s="27"/>
      <c r="C2" s="27"/>
      <c r="D2" s="27"/>
      <c r="E2" s="27"/>
      <c r="F2" s="25"/>
      <c r="G2" s="25"/>
      <c r="H2" s="25"/>
      <c r="I2" s="25"/>
      <c r="J2" s="25"/>
      <c r="K2" s="25"/>
      <c r="L2" s="25"/>
    </row>
    <row r="3" spans="1:12" x14ac:dyDescent="0.25">
      <c r="A3" s="28" t="s">
        <v>0</v>
      </c>
      <c r="B3" s="31">
        <f>'Order Summary'!B3</f>
        <v>0</v>
      </c>
      <c r="C3" s="79"/>
      <c r="D3" s="79"/>
      <c r="E3" s="79"/>
      <c r="F3" s="29"/>
      <c r="G3" s="29"/>
      <c r="H3" s="29"/>
      <c r="I3" s="28" t="s">
        <v>1</v>
      </c>
      <c r="J3" s="28"/>
      <c r="K3" s="114">
        <f>'Order Summary'!F3</f>
        <v>0</v>
      </c>
      <c r="L3" s="114"/>
    </row>
    <row r="4" spans="1:12" x14ac:dyDescent="0.25">
      <c r="A4" s="30" t="s">
        <v>2</v>
      </c>
      <c r="B4" s="33">
        <f>'Order Summary'!B4</f>
        <v>0</v>
      </c>
      <c r="C4" s="79"/>
      <c r="D4" s="79"/>
      <c r="E4" s="79"/>
      <c r="F4" s="29"/>
      <c r="G4" s="29"/>
      <c r="H4" s="29"/>
      <c r="I4" s="28" t="s">
        <v>3</v>
      </c>
      <c r="J4" s="28"/>
      <c r="K4" s="113">
        <f>'Order Summary'!F4</f>
        <v>0</v>
      </c>
      <c r="L4" s="113"/>
    </row>
    <row r="5" spans="1:12" x14ac:dyDescent="0.25">
      <c r="A5" s="108">
        <f>'Order Summary'!B5</f>
        <v>0</v>
      </c>
      <c r="B5" s="108"/>
      <c r="C5" s="79"/>
      <c r="D5" s="79"/>
      <c r="E5" s="79"/>
      <c r="F5" s="25"/>
      <c r="G5" s="25"/>
      <c r="H5" s="25"/>
      <c r="I5" s="28" t="s">
        <v>4</v>
      </c>
      <c r="J5" s="28"/>
      <c r="K5" s="115">
        <f>'Order Summary'!F5</f>
        <v>0</v>
      </c>
      <c r="L5" s="115"/>
    </row>
    <row r="6" spans="1:12" x14ac:dyDescent="0.25">
      <c r="A6" s="108">
        <f>'Order Summary'!B6</f>
        <v>0</v>
      </c>
      <c r="B6" s="108"/>
      <c r="C6" s="79"/>
      <c r="D6" s="79"/>
      <c r="E6" s="79"/>
      <c r="F6" s="25"/>
      <c r="G6" s="25"/>
      <c r="H6" s="25"/>
      <c r="I6" s="28" t="s">
        <v>5</v>
      </c>
      <c r="J6" s="28"/>
      <c r="K6" s="108">
        <f>'Order Summary'!F6</f>
        <v>0</v>
      </c>
      <c r="L6" s="108"/>
    </row>
    <row r="7" spans="1:12" ht="15.75" x14ac:dyDescent="0.25">
      <c r="A7" s="46" t="s">
        <v>4381</v>
      </c>
    </row>
    <row r="8" spans="1:12" x14ac:dyDescent="0.25">
      <c r="A8" s="1" t="s">
        <v>19</v>
      </c>
      <c r="B8" s="1" t="s">
        <v>4385</v>
      </c>
      <c r="C8" s="1" t="s">
        <v>20</v>
      </c>
      <c r="D8" s="1" t="s">
        <v>918</v>
      </c>
      <c r="E8" s="1" t="s">
        <v>919</v>
      </c>
      <c r="F8" s="1" t="s">
        <v>920</v>
      </c>
      <c r="G8" s="2" t="s">
        <v>21</v>
      </c>
      <c r="H8" s="2" t="s">
        <v>1717</v>
      </c>
      <c r="I8" s="3" t="s">
        <v>22</v>
      </c>
      <c r="J8" s="2" t="s">
        <v>23</v>
      </c>
      <c r="K8" s="2" t="s">
        <v>6</v>
      </c>
      <c r="L8" s="2" t="s">
        <v>7</v>
      </c>
    </row>
    <row r="9" spans="1:12" x14ac:dyDescent="0.25">
      <c r="A9" s="104">
        <v>449220</v>
      </c>
      <c r="B9" s="4" t="s">
        <v>552</v>
      </c>
      <c r="C9" s="4" t="s">
        <v>553</v>
      </c>
      <c r="D9" s="75" t="str">
        <f>_xlfn.XLOOKUP(B9,'Product Hierarchy'!A:A,'Product Hierarchy'!C:C)</f>
        <v>LEVEL5</v>
      </c>
      <c r="E9" s="75" t="str">
        <f>_xlfn.XLOOKUP(B9,'Product Hierarchy'!A:A,'Product Hierarchy'!E:E)</f>
        <v>Misc</v>
      </c>
      <c r="F9" s="75" t="str">
        <f>_xlfn.XLOOKUP(B9,'Product Hierarchy'!A:A,'Product Hierarchy'!F:F)</f>
        <v>Clothing</v>
      </c>
      <c r="G9" s="76">
        <v>9.49</v>
      </c>
      <c r="H9" s="76">
        <v>8.5399999999999991</v>
      </c>
      <c r="I9" s="6">
        <v>5.98</v>
      </c>
      <c r="J9" s="5" t="s">
        <v>26</v>
      </c>
      <c r="K9" s="45"/>
      <c r="L9" s="7">
        <f t="shared" ref="L9:L24" si="0">K9*I9</f>
        <v>0</v>
      </c>
    </row>
    <row r="10" spans="1:12" x14ac:dyDescent="0.25">
      <c r="A10" s="104">
        <v>449239</v>
      </c>
      <c r="B10" s="4" t="s">
        <v>520</v>
      </c>
      <c r="C10" s="4" t="s">
        <v>521</v>
      </c>
      <c r="D10" s="75" t="str">
        <f>_xlfn.XLOOKUP(B10,'Product Hierarchy'!A:A,'Product Hierarchy'!C:C)</f>
        <v>LEVEL5</v>
      </c>
      <c r="E10" s="75" t="str">
        <f>_xlfn.XLOOKUP(B10,'Product Hierarchy'!A:A,'Product Hierarchy'!E:E)</f>
        <v>Misc</v>
      </c>
      <c r="F10" s="75" t="str">
        <f>_xlfn.XLOOKUP(B10,'Product Hierarchy'!A:A,'Product Hierarchy'!F:F)</f>
        <v>Clothing</v>
      </c>
      <c r="G10" s="76">
        <v>19.989999999999998</v>
      </c>
      <c r="H10" s="76">
        <v>17.989999999999998</v>
      </c>
      <c r="I10" s="6">
        <v>12.59</v>
      </c>
      <c r="J10" s="5" t="s">
        <v>26</v>
      </c>
      <c r="K10" s="45"/>
      <c r="L10" s="7">
        <f t="shared" si="0"/>
        <v>0</v>
      </c>
    </row>
    <row r="11" spans="1:12" x14ac:dyDescent="0.25">
      <c r="A11" s="104">
        <v>449240</v>
      </c>
      <c r="B11" s="4" t="s">
        <v>522</v>
      </c>
      <c r="C11" s="4" t="s">
        <v>523</v>
      </c>
      <c r="D11" s="75" t="str">
        <f>_xlfn.XLOOKUP(B11,'Product Hierarchy'!A:A,'Product Hierarchy'!C:C)</f>
        <v>LEVEL5</v>
      </c>
      <c r="E11" s="75" t="str">
        <f>_xlfn.XLOOKUP(B11,'Product Hierarchy'!A:A,'Product Hierarchy'!E:E)</f>
        <v>Misc</v>
      </c>
      <c r="F11" s="75" t="str">
        <f>_xlfn.XLOOKUP(B11,'Product Hierarchy'!A:A,'Product Hierarchy'!F:F)</f>
        <v>Clothing</v>
      </c>
      <c r="G11" s="76">
        <v>19.989999999999998</v>
      </c>
      <c r="H11" s="76">
        <v>17.989999999999998</v>
      </c>
      <c r="I11" s="6">
        <v>12.59</v>
      </c>
      <c r="J11" s="5" t="s">
        <v>26</v>
      </c>
      <c r="K11" s="45"/>
      <c r="L11" s="7">
        <f t="shared" si="0"/>
        <v>0</v>
      </c>
    </row>
    <row r="12" spans="1:12" x14ac:dyDescent="0.25">
      <c r="A12" s="104">
        <v>449241</v>
      </c>
      <c r="B12" s="4" t="s">
        <v>524</v>
      </c>
      <c r="C12" s="4" t="s">
        <v>525</v>
      </c>
      <c r="D12" s="75" t="str">
        <f>_xlfn.XLOOKUP(B12,'Product Hierarchy'!A:A,'Product Hierarchy'!C:C)</f>
        <v>LEVEL5</v>
      </c>
      <c r="E12" s="75" t="str">
        <f>_xlfn.XLOOKUP(B12,'Product Hierarchy'!A:A,'Product Hierarchy'!E:E)</f>
        <v>Misc</v>
      </c>
      <c r="F12" s="75" t="str">
        <f>_xlfn.XLOOKUP(B12,'Product Hierarchy'!A:A,'Product Hierarchy'!F:F)</f>
        <v>Clothing</v>
      </c>
      <c r="G12" s="76">
        <v>19.989999999999998</v>
      </c>
      <c r="H12" s="76">
        <v>17.989999999999998</v>
      </c>
      <c r="I12" s="6">
        <v>12.59</v>
      </c>
      <c r="J12" s="5" t="s">
        <v>26</v>
      </c>
      <c r="K12" s="45"/>
      <c r="L12" s="7">
        <f t="shared" si="0"/>
        <v>0</v>
      </c>
    </row>
    <row r="13" spans="1:12" x14ac:dyDescent="0.25">
      <c r="A13" s="104">
        <v>449242</v>
      </c>
      <c r="B13" s="4" t="s">
        <v>526</v>
      </c>
      <c r="C13" s="4" t="s">
        <v>527</v>
      </c>
      <c r="D13" s="75" t="str">
        <f>_xlfn.XLOOKUP(B13,'Product Hierarchy'!A:A,'Product Hierarchy'!C:C)</f>
        <v>LEVEL5</v>
      </c>
      <c r="E13" s="75" t="str">
        <f>_xlfn.XLOOKUP(B13,'Product Hierarchy'!A:A,'Product Hierarchy'!E:E)</f>
        <v>Misc</v>
      </c>
      <c r="F13" s="75" t="str">
        <f>_xlfn.XLOOKUP(B13,'Product Hierarchy'!A:A,'Product Hierarchy'!F:F)</f>
        <v>Clothing</v>
      </c>
      <c r="G13" s="76">
        <v>19.989999999999998</v>
      </c>
      <c r="H13" s="76">
        <v>17.989999999999998</v>
      </c>
      <c r="I13" s="6">
        <v>12.59</v>
      </c>
      <c r="J13" s="5" t="s">
        <v>26</v>
      </c>
      <c r="K13" s="45"/>
      <c r="L13" s="7">
        <f t="shared" si="0"/>
        <v>0</v>
      </c>
    </row>
    <row r="14" spans="1:12" x14ac:dyDescent="0.25">
      <c r="A14" s="104">
        <v>449243</v>
      </c>
      <c r="B14" s="4" t="s">
        <v>528</v>
      </c>
      <c r="C14" s="4" t="s">
        <v>529</v>
      </c>
      <c r="D14" s="75" t="str">
        <f>_xlfn.XLOOKUP(B14,'Product Hierarchy'!A:A,'Product Hierarchy'!C:C)</f>
        <v>LEVEL5</v>
      </c>
      <c r="E14" s="75" t="str">
        <f>_xlfn.XLOOKUP(B14,'Product Hierarchy'!A:A,'Product Hierarchy'!E:E)</f>
        <v>Misc</v>
      </c>
      <c r="F14" s="75" t="str">
        <f>_xlfn.XLOOKUP(B14,'Product Hierarchy'!A:A,'Product Hierarchy'!F:F)</f>
        <v>Clothing</v>
      </c>
      <c r="G14" s="76">
        <v>19.989999999999998</v>
      </c>
      <c r="H14" s="76">
        <v>17.989999999999998</v>
      </c>
      <c r="I14" s="6">
        <v>12.59</v>
      </c>
      <c r="J14" s="5" t="s">
        <v>26</v>
      </c>
      <c r="K14" s="45"/>
      <c r="L14" s="7">
        <f t="shared" si="0"/>
        <v>0</v>
      </c>
    </row>
    <row r="15" spans="1:12" x14ac:dyDescent="0.25">
      <c r="A15" s="104">
        <v>449244</v>
      </c>
      <c r="B15" s="4" t="s">
        <v>530</v>
      </c>
      <c r="C15" s="4" t="s">
        <v>531</v>
      </c>
      <c r="D15" s="75" t="str">
        <f>_xlfn.XLOOKUP(B15,'Product Hierarchy'!A:A,'Product Hierarchy'!C:C)</f>
        <v>LEVEL5</v>
      </c>
      <c r="E15" s="75" t="str">
        <f>_xlfn.XLOOKUP(B15,'Product Hierarchy'!A:A,'Product Hierarchy'!E:E)</f>
        <v>Misc</v>
      </c>
      <c r="F15" s="75" t="str">
        <f>_xlfn.XLOOKUP(B15,'Product Hierarchy'!A:A,'Product Hierarchy'!F:F)</f>
        <v>Clothing</v>
      </c>
      <c r="G15" s="76">
        <v>19.989999999999998</v>
      </c>
      <c r="H15" s="76">
        <v>17.989999999999998</v>
      </c>
      <c r="I15" s="6">
        <v>12.59</v>
      </c>
      <c r="J15" s="5" t="s">
        <v>26</v>
      </c>
      <c r="K15" s="45"/>
      <c r="L15" s="7">
        <f t="shared" si="0"/>
        <v>0</v>
      </c>
    </row>
    <row r="16" spans="1:12" x14ac:dyDescent="0.25">
      <c r="A16" s="104">
        <v>449245</v>
      </c>
      <c r="B16" s="4" t="s">
        <v>532</v>
      </c>
      <c r="C16" s="4" t="s">
        <v>533</v>
      </c>
      <c r="D16" s="75" t="str">
        <f>_xlfn.XLOOKUP(B16,'Product Hierarchy'!A:A,'Product Hierarchy'!C:C)</f>
        <v>LEVEL5</v>
      </c>
      <c r="E16" s="75" t="str">
        <f>_xlfn.XLOOKUP(B16,'Product Hierarchy'!A:A,'Product Hierarchy'!E:E)</f>
        <v>Misc</v>
      </c>
      <c r="F16" s="75" t="str">
        <f>_xlfn.XLOOKUP(B16,'Product Hierarchy'!A:A,'Product Hierarchy'!F:F)</f>
        <v>Clothing</v>
      </c>
      <c r="G16" s="76">
        <v>19.989999999999998</v>
      </c>
      <c r="H16" s="76">
        <v>17.989999999999998</v>
      </c>
      <c r="I16" s="6">
        <v>12.59</v>
      </c>
      <c r="J16" s="5" t="s">
        <v>26</v>
      </c>
      <c r="K16" s="45"/>
      <c r="L16" s="7">
        <f t="shared" si="0"/>
        <v>0</v>
      </c>
    </row>
    <row r="17" spans="1:12" x14ac:dyDescent="0.25">
      <c r="A17" s="104">
        <v>449246</v>
      </c>
      <c r="B17" s="4" t="s">
        <v>534</v>
      </c>
      <c r="C17" s="4" t="s">
        <v>535</v>
      </c>
      <c r="D17" s="75" t="str">
        <f>_xlfn.XLOOKUP(B17,'Product Hierarchy'!A:A,'Product Hierarchy'!C:C)</f>
        <v>LEVEL5</v>
      </c>
      <c r="E17" s="75" t="str">
        <f>_xlfn.XLOOKUP(B17,'Product Hierarchy'!A:A,'Product Hierarchy'!E:E)</f>
        <v>Misc</v>
      </c>
      <c r="F17" s="75" t="str">
        <f>_xlfn.XLOOKUP(B17,'Product Hierarchy'!A:A,'Product Hierarchy'!F:F)</f>
        <v>Clothing</v>
      </c>
      <c r="G17" s="76">
        <v>19.989999999999998</v>
      </c>
      <c r="H17" s="76">
        <v>17.989999999999998</v>
      </c>
      <c r="I17" s="6">
        <v>12.59</v>
      </c>
      <c r="J17" s="5" t="s">
        <v>26</v>
      </c>
      <c r="K17" s="45"/>
      <c r="L17" s="7">
        <f t="shared" si="0"/>
        <v>0</v>
      </c>
    </row>
    <row r="18" spans="1:12" x14ac:dyDescent="0.25">
      <c r="A18" s="104">
        <v>449247</v>
      </c>
      <c r="B18" s="4" t="s">
        <v>536</v>
      </c>
      <c r="C18" s="4" t="s">
        <v>537</v>
      </c>
      <c r="D18" s="75" t="str">
        <f>_xlfn.XLOOKUP(B18,'Product Hierarchy'!A:A,'Product Hierarchy'!C:C)</f>
        <v>LEVEL5</v>
      </c>
      <c r="E18" s="75" t="str">
        <f>_xlfn.XLOOKUP(B18,'Product Hierarchy'!A:A,'Product Hierarchy'!E:E)</f>
        <v>Misc</v>
      </c>
      <c r="F18" s="75" t="str">
        <f>_xlfn.XLOOKUP(B18,'Product Hierarchy'!A:A,'Product Hierarchy'!F:F)</f>
        <v>Clothing</v>
      </c>
      <c r="G18" s="76">
        <v>19.989999999999998</v>
      </c>
      <c r="H18" s="76">
        <v>17.989999999999998</v>
      </c>
      <c r="I18" s="6">
        <v>12.59</v>
      </c>
      <c r="J18" s="5" t="s">
        <v>26</v>
      </c>
      <c r="K18" s="45"/>
      <c r="L18" s="7">
        <f t="shared" si="0"/>
        <v>0</v>
      </c>
    </row>
    <row r="19" spans="1:12" x14ac:dyDescent="0.25">
      <c r="A19" s="104">
        <v>449248</v>
      </c>
      <c r="B19" s="4" t="s">
        <v>538</v>
      </c>
      <c r="C19" s="4" t="s">
        <v>539</v>
      </c>
      <c r="D19" s="75" t="str">
        <f>_xlfn.XLOOKUP(B19,'Product Hierarchy'!A:A,'Product Hierarchy'!C:C)</f>
        <v>LEVEL5</v>
      </c>
      <c r="E19" s="75" t="str">
        <f>_xlfn.XLOOKUP(B19,'Product Hierarchy'!A:A,'Product Hierarchy'!E:E)</f>
        <v>Misc</v>
      </c>
      <c r="F19" s="75" t="str">
        <f>_xlfn.XLOOKUP(B19,'Product Hierarchy'!A:A,'Product Hierarchy'!F:F)</f>
        <v>Clothing</v>
      </c>
      <c r="G19" s="76">
        <v>19.989999999999998</v>
      </c>
      <c r="H19" s="76">
        <v>17.989999999999998</v>
      </c>
      <c r="I19" s="6">
        <v>12.59</v>
      </c>
      <c r="J19" s="5" t="s">
        <v>26</v>
      </c>
      <c r="K19" s="45"/>
      <c r="L19" s="7">
        <f t="shared" si="0"/>
        <v>0</v>
      </c>
    </row>
    <row r="20" spans="1:12" x14ac:dyDescent="0.25">
      <c r="A20" s="104"/>
      <c r="B20" s="4" t="s">
        <v>540</v>
      </c>
      <c r="C20" s="4" t="s">
        <v>541</v>
      </c>
      <c r="D20" s="75" t="str">
        <f>_xlfn.XLOOKUP(B20,'Product Hierarchy'!A:A,'Product Hierarchy'!C:C)</f>
        <v>DEWALT</v>
      </c>
      <c r="E20" s="75" t="str">
        <f>_xlfn.XLOOKUP(B20,'Product Hierarchy'!A:A,'Product Hierarchy'!E:E)</f>
        <v>Misc</v>
      </c>
      <c r="F20" s="75" t="str">
        <f>_xlfn.XLOOKUP(B20,'Product Hierarchy'!A:A,'Product Hierarchy'!F:F)</f>
        <v>Catalogs</v>
      </c>
      <c r="G20" s="76">
        <v>0</v>
      </c>
      <c r="H20" s="76">
        <v>0</v>
      </c>
      <c r="I20" s="6">
        <v>0</v>
      </c>
      <c r="J20" s="5" t="s">
        <v>26</v>
      </c>
      <c r="K20" s="45"/>
      <c r="L20" s="7">
        <f t="shared" si="0"/>
        <v>0</v>
      </c>
    </row>
    <row r="21" spans="1:12" x14ac:dyDescent="0.25">
      <c r="A21" s="104"/>
      <c r="B21" s="4" t="s">
        <v>542</v>
      </c>
      <c r="C21" s="4" t="s">
        <v>543</v>
      </c>
      <c r="D21" s="75" t="str">
        <f>_xlfn.XLOOKUP(B21,'Product Hierarchy'!A:A,'Product Hierarchy'!C:C)</f>
        <v>DEWALT</v>
      </c>
      <c r="E21" s="75" t="str">
        <f>_xlfn.XLOOKUP(B21,'Product Hierarchy'!A:A,'Product Hierarchy'!E:E)</f>
        <v>Misc</v>
      </c>
      <c r="F21" s="75" t="str">
        <f>_xlfn.XLOOKUP(B21,'Product Hierarchy'!A:A,'Product Hierarchy'!F:F)</f>
        <v>Catalogs</v>
      </c>
      <c r="G21" s="76">
        <v>0</v>
      </c>
      <c r="H21" s="76">
        <v>0</v>
      </c>
      <c r="I21" s="6">
        <v>0</v>
      </c>
      <c r="J21" s="5" t="s">
        <v>26</v>
      </c>
      <c r="K21" s="45"/>
      <c r="L21" s="7">
        <f t="shared" si="0"/>
        <v>0</v>
      </c>
    </row>
    <row r="22" spans="1:12" x14ac:dyDescent="0.25">
      <c r="A22" s="104">
        <v>450981</v>
      </c>
      <c r="B22" s="4" t="s">
        <v>4236</v>
      </c>
      <c r="C22" s="4" t="s">
        <v>545</v>
      </c>
      <c r="D22" s="75" t="str">
        <f>_xlfn.XLOOKUP(B22,'Product Hierarchy'!A:A,'Product Hierarchy'!C:C)</f>
        <v>LEVEL5</v>
      </c>
      <c r="E22" s="75" t="str">
        <f>_xlfn.XLOOKUP(B22,'Product Hierarchy'!A:A,'Product Hierarchy'!E:E)</f>
        <v>Misc</v>
      </c>
      <c r="F22" s="75" t="str">
        <f>_xlfn.XLOOKUP(B22,'Product Hierarchy'!A:A,'Product Hierarchy'!F:F)</f>
        <v>Catalogs</v>
      </c>
      <c r="G22" s="76">
        <v>0</v>
      </c>
      <c r="H22" s="76">
        <v>0</v>
      </c>
      <c r="I22" s="6">
        <v>0</v>
      </c>
      <c r="J22" s="5" t="s">
        <v>26</v>
      </c>
      <c r="K22" s="45"/>
      <c r="L22" s="7">
        <f t="shared" si="0"/>
        <v>0</v>
      </c>
    </row>
    <row r="23" spans="1:12" x14ac:dyDescent="0.25">
      <c r="A23" s="104">
        <v>450982</v>
      </c>
      <c r="B23" s="4" t="s">
        <v>4234</v>
      </c>
      <c r="C23" s="4" t="s">
        <v>547</v>
      </c>
      <c r="D23" s="75" t="str">
        <f>_xlfn.XLOOKUP(B23,'Product Hierarchy'!A:A,'Product Hierarchy'!C:C)</f>
        <v>LEVEL5</v>
      </c>
      <c r="E23" s="75" t="str">
        <f>_xlfn.XLOOKUP(B23,'Product Hierarchy'!A:A,'Product Hierarchy'!E:E)</f>
        <v>Misc</v>
      </c>
      <c r="F23" s="75" t="str">
        <f>_xlfn.XLOOKUP(B23,'Product Hierarchy'!A:A,'Product Hierarchy'!F:F)</f>
        <v>Catalogs</v>
      </c>
      <c r="G23" s="76">
        <v>0</v>
      </c>
      <c r="H23" s="76">
        <v>0</v>
      </c>
      <c r="I23" s="6">
        <v>0</v>
      </c>
      <c r="J23" s="5" t="s">
        <v>26</v>
      </c>
      <c r="K23" s="45"/>
      <c r="L23" s="7">
        <f t="shared" si="0"/>
        <v>0</v>
      </c>
    </row>
    <row r="24" spans="1:12" ht="15.75" thickBot="1" x14ac:dyDescent="0.3">
      <c r="A24" s="104">
        <v>450983</v>
      </c>
      <c r="B24" s="4" t="s">
        <v>4232</v>
      </c>
      <c r="C24" s="4" t="s">
        <v>4379</v>
      </c>
      <c r="D24" s="75" t="str">
        <f>_xlfn.XLOOKUP(B24,'Product Hierarchy'!A:A,'Product Hierarchy'!C:C)</f>
        <v>LEVEL5</v>
      </c>
      <c r="E24" s="75" t="str">
        <f>_xlfn.XLOOKUP(B24,'Product Hierarchy'!A:A,'Product Hierarchy'!E:E)</f>
        <v>Misc</v>
      </c>
      <c r="F24" s="75" t="str">
        <f>_xlfn.XLOOKUP(B24,'Product Hierarchy'!A:A,'Product Hierarchy'!F:F)</f>
        <v>Catalogs</v>
      </c>
      <c r="G24" s="76">
        <v>0</v>
      </c>
      <c r="H24" s="76">
        <v>0</v>
      </c>
      <c r="I24" s="6">
        <v>0</v>
      </c>
      <c r="J24" s="5" t="s">
        <v>26</v>
      </c>
      <c r="K24" s="45"/>
      <c r="L24" s="7">
        <f t="shared" si="0"/>
        <v>0</v>
      </c>
    </row>
    <row r="25" spans="1:12" ht="15.75" thickBot="1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2" t="s">
        <v>554</v>
      </c>
      <c r="K25" s="59">
        <f>SUM(K9:K24)</f>
        <v>0</v>
      </c>
      <c r="L25" s="13">
        <f>SUM(L9:L24)</f>
        <v>0</v>
      </c>
    </row>
  </sheetData>
  <sheetProtection algorithmName="SHA-512" hashValue="+oT+1c8mzEGolXDchqsvEFbBEdD8Y8vbQnv9e4QiPdcsCvw6GldaQDAuuLK+x9XzEzYOHK8hyRH5g9+lTV9gJw==" saltValue="dABoULAa8mqVnzbKh+B8tw==" spinCount="100000" sheet="1" selectLockedCells="1"/>
  <autoFilter ref="B8:L24" xr:uid="{770E8EB8-A0E4-4671-ABF4-F54CD924D543}">
    <sortState xmlns:xlrd2="http://schemas.microsoft.com/office/spreadsheetml/2017/richdata2" ref="B9:L25">
      <sortCondition ref="B8:B24"/>
    </sortState>
  </autoFilter>
  <sortState xmlns:xlrd2="http://schemas.microsoft.com/office/spreadsheetml/2017/richdata2" ref="B9:L24">
    <sortCondition ref="D9:D24"/>
    <sortCondition ref="E9:E24"/>
    <sortCondition ref="F9:F24"/>
    <sortCondition ref="B9:B24"/>
  </sortState>
  <mergeCells count="6">
    <mergeCell ref="K4:L4"/>
    <mergeCell ref="A5:B5"/>
    <mergeCell ref="A6:B6"/>
    <mergeCell ref="K3:L3"/>
    <mergeCell ref="K5:L5"/>
    <mergeCell ref="K6:L6"/>
  </mergeCells>
  <pageMargins left="0.7" right="0.7" top="0.75" bottom="0.75" header="0.3" footer="0.3"/>
  <pageSetup scale="90" orientation="portrait" r:id="rId1"/>
  <ignoredErrors>
    <ignoredError xmlns:x16r3="http://schemas.microsoft.com/office/spreadsheetml/2018/08/main" sqref="K5:K6" x16r3:misleadingForma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2BD0EA9118947B2FF81D236047824" ma:contentTypeVersion="4" ma:contentTypeDescription="Create a new document." ma:contentTypeScope="" ma:versionID="9c621dfe99d94e47e92b99270cf49cd8">
  <xsd:schema xmlns:xsd="http://www.w3.org/2001/XMLSchema" xmlns:xs="http://www.w3.org/2001/XMLSchema" xmlns:p="http://schemas.microsoft.com/office/2006/metadata/properties" xmlns:ns2="2d63c4c0-f1f4-4544-aaae-7bdc0808ccea" targetNamespace="http://schemas.microsoft.com/office/2006/metadata/properties" ma:root="true" ma:fieldsID="5555441313f5bfa94fa1d09c0526c2e4" ns2:_="">
    <xsd:import namespace="2d63c4c0-f1f4-4544-aaae-7bdc0808cc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3c4c0-f1f4-4544-aaae-7bdc0808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CA1B0-30F3-42A8-8F4C-AE0641586328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2d63c4c0-f1f4-4544-aaae-7bdc0808ccea"/>
  </ds:schemaRefs>
</ds:datastoreItem>
</file>

<file path=customXml/itemProps2.xml><?xml version="1.0" encoding="utf-8"?>
<ds:datastoreItem xmlns:ds="http://schemas.openxmlformats.org/officeDocument/2006/customXml" ds:itemID="{9D553426-273F-4DF5-9070-B5E777DAB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117C49-B821-49EE-B110-4179346DE0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63c4c0-f1f4-4544-aaae-7bdc0808c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Product Hierarchy</vt:lpstr>
      <vt:lpstr>Order Summary</vt:lpstr>
      <vt:lpstr>Order Input - Level5</vt:lpstr>
      <vt:lpstr>Order Input - DeWalt</vt:lpstr>
      <vt:lpstr>Order Input-Individual Part </vt:lpstr>
      <vt:lpstr>Order Input-Part Kits</vt:lpstr>
      <vt:lpstr>Order Input-Merch. And Mktg</vt:lpstr>
      <vt:lpstr>'Order Input - DeWalt'!Print_Titles</vt:lpstr>
      <vt:lpstr>'Order Input - Level5'!Print_Titles</vt:lpstr>
      <vt:lpstr>'Order Input-Individual Part '!Print_Titles</vt:lpstr>
      <vt:lpstr>'Order Input-Part Kits'!Print_Titles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 Muder</dc:creator>
  <cp:keywords/>
  <dc:description/>
  <cp:lastModifiedBy>Fair, Aaron L</cp:lastModifiedBy>
  <cp:revision/>
  <cp:lastPrinted>2025-06-06T19:44:30Z</cp:lastPrinted>
  <dcterms:created xsi:type="dcterms:W3CDTF">2019-09-09T17:26:14Z</dcterms:created>
  <dcterms:modified xsi:type="dcterms:W3CDTF">2026-02-26T18:41:29Z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0x0101008F72BD0EA9118947B2FF81D236047824</vt:lpwstr>
  </property>
</Properties>
</file>