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0" windowWidth="19035" windowHeight="8325"/>
  </bookViews>
  <sheets>
    <sheet name="Product Data" sheetId="1" r:id="rId1"/>
  </sheets>
  <calcPr calcId="145621"/>
</workbook>
</file>

<file path=xl/calcChain.xml><?xml version="1.0" encoding="utf-8"?>
<calcChain xmlns="http://schemas.openxmlformats.org/spreadsheetml/2006/main">
  <c r="J75" i="1" l="1"/>
  <c r="I75" i="1"/>
  <c r="H75" i="1"/>
  <c r="J74" i="1"/>
  <c r="I74" i="1"/>
  <c r="H74" i="1"/>
  <c r="K80" i="1" l="1"/>
  <c r="K81" i="1"/>
  <c r="K82" i="1"/>
  <c r="K83" i="1"/>
  <c r="K84" i="1"/>
  <c r="K85" i="1"/>
  <c r="K86" i="1"/>
  <c r="K87" i="1"/>
  <c r="K88" i="1"/>
  <c r="K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J79" i="1"/>
  <c r="I79" i="1"/>
  <c r="H80" i="1"/>
  <c r="H81" i="1"/>
  <c r="H82" i="1"/>
  <c r="H83" i="1"/>
  <c r="H84" i="1"/>
  <c r="H85" i="1"/>
  <c r="H86" i="1"/>
  <c r="H87" i="1"/>
  <c r="H88" i="1"/>
  <c r="H79" i="1"/>
  <c r="K72" i="1" l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J66" i="1"/>
  <c r="I66" i="1"/>
  <c r="H66" i="1"/>
  <c r="J89" i="1"/>
  <c r="I89" i="1"/>
  <c r="H89" i="1"/>
  <c r="J78" i="1"/>
  <c r="I78" i="1"/>
  <c r="H78" i="1"/>
  <c r="J77" i="1"/>
  <c r="I77" i="1"/>
  <c r="H77" i="1"/>
  <c r="J76" i="1"/>
  <c r="I76" i="1"/>
  <c r="H76" i="1"/>
  <c r="J73" i="1"/>
  <c r="I73" i="1"/>
  <c r="H73" i="1"/>
  <c r="J68" i="1"/>
  <c r="I68" i="1"/>
  <c r="H68" i="1"/>
  <c r="J107" i="1"/>
  <c r="I107" i="1"/>
  <c r="H107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27" i="1"/>
  <c r="I127" i="1"/>
  <c r="H127" i="1"/>
  <c r="J126" i="1"/>
  <c r="I126" i="1"/>
  <c r="H126" i="1"/>
  <c r="K22" i="1"/>
  <c r="K17" i="1"/>
  <c r="K12" i="1"/>
  <c r="K107" i="1"/>
  <c r="K89" i="1"/>
  <c r="K78" i="1"/>
  <c r="K77" i="1"/>
  <c r="K76" i="1"/>
  <c r="K75" i="1"/>
  <c r="K74" i="1"/>
  <c r="K73" i="1"/>
  <c r="K68" i="1"/>
  <c r="K67" i="1"/>
  <c r="K66" i="1"/>
  <c r="K156" i="1"/>
  <c r="K155" i="1"/>
  <c r="K154" i="1"/>
  <c r="K153" i="1"/>
  <c r="K134" i="1"/>
  <c r="K133" i="1"/>
  <c r="K132" i="1"/>
  <c r="K131" i="1"/>
  <c r="K130" i="1"/>
  <c r="K129" i="1"/>
  <c r="K127" i="1"/>
  <c r="K126" i="1"/>
</calcChain>
</file>

<file path=xl/sharedStrings.xml><?xml version="1.0" encoding="utf-8"?>
<sst xmlns="http://schemas.openxmlformats.org/spreadsheetml/2006/main" count="374" uniqueCount="370">
  <si>
    <t>Description</t>
  </si>
  <si>
    <t>UPC Code</t>
  </si>
  <si>
    <t>85T</t>
  </si>
  <si>
    <t>15TTE</t>
  </si>
  <si>
    <t>14TT</t>
  </si>
  <si>
    <t>873876000371</t>
  </si>
  <si>
    <t>40TT</t>
  </si>
  <si>
    <t>45TT</t>
  </si>
  <si>
    <t>48TT</t>
  </si>
  <si>
    <t>48XTT</t>
  </si>
  <si>
    <t>16TT</t>
  </si>
  <si>
    <t>16TT90</t>
  </si>
  <si>
    <t>873876000388</t>
  </si>
  <si>
    <t>HR</t>
  </si>
  <si>
    <t>873876000395</t>
  </si>
  <si>
    <t>35TT</t>
  </si>
  <si>
    <t>50TT</t>
  </si>
  <si>
    <t>HF</t>
  </si>
  <si>
    <t>873876000401</t>
  </si>
  <si>
    <t>17TT</t>
  </si>
  <si>
    <t>873876000418</t>
  </si>
  <si>
    <t>20TTX</t>
  </si>
  <si>
    <t>873876000432</t>
  </si>
  <si>
    <t>8034TT</t>
  </si>
  <si>
    <t>8042TT</t>
  </si>
  <si>
    <t>8054TT</t>
  </si>
  <si>
    <t>8072TT</t>
  </si>
  <si>
    <t>8134TT</t>
  </si>
  <si>
    <t>8142TT</t>
  </si>
  <si>
    <t>8154TT</t>
  </si>
  <si>
    <t>8172TT</t>
  </si>
  <si>
    <t>88TTE</t>
  </si>
  <si>
    <t>25TTX</t>
  </si>
  <si>
    <t>873876000463</t>
  </si>
  <si>
    <t>30TTX</t>
  </si>
  <si>
    <t>873876000494</t>
  </si>
  <si>
    <t>873876000517</t>
  </si>
  <si>
    <t>873876000524</t>
  </si>
  <si>
    <t>HA</t>
  </si>
  <si>
    <t>873876000548</t>
  </si>
  <si>
    <t>873876000555</t>
  </si>
  <si>
    <t>873876000562</t>
  </si>
  <si>
    <t>873876000579</t>
  </si>
  <si>
    <t>873876000531</t>
  </si>
  <si>
    <t>63TT</t>
  </si>
  <si>
    <t>873876000586</t>
  </si>
  <si>
    <t>90T</t>
  </si>
  <si>
    <t>HN</t>
  </si>
  <si>
    <t>68TT</t>
  </si>
  <si>
    <t>873876000593</t>
  </si>
  <si>
    <t>873876000623</t>
  </si>
  <si>
    <t>873876000630</t>
  </si>
  <si>
    <t>873876000647</t>
  </si>
  <si>
    <t>873876000654</t>
  </si>
  <si>
    <t>873876000692</t>
  </si>
  <si>
    <t>873876000685</t>
  </si>
  <si>
    <t>873876000678</t>
  </si>
  <si>
    <t>873876000661</t>
  </si>
  <si>
    <t>873876000715</t>
  </si>
  <si>
    <t>873876000739</t>
  </si>
  <si>
    <t>873876000708</t>
  </si>
  <si>
    <t>873876000746</t>
  </si>
  <si>
    <t>873876000753</t>
  </si>
  <si>
    <t>873876000760</t>
  </si>
  <si>
    <t>873876000777</t>
  </si>
  <si>
    <t>501A</t>
  </si>
  <si>
    <t>501BH</t>
  </si>
  <si>
    <t>502A</t>
  </si>
  <si>
    <t>501C7</t>
  </si>
  <si>
    <t>501C10</t>
  </si>
  <si>
    <t>501C12</t>
  </si>
  <si>
    <t>501F2A</t>
  </si>
  <si>
    <t>501F3A</t>
  </si>
  <si>
    <t>501F4A</t>
  </si>
  <si>
    <t>502F2</t>
  </si>
  <si>
    <t>502F3</t>
  </si>
  <si>
    <t>502F4</t>
  </si>
  <si>
    <t>501H</t>
  </si>
  <si>
    <t>501H1</t>
  </si>
  <si>
    <t>502H</t>
  </si>
  <si>
    <t>501RSE</t>
  </si>
  <si>
    <t>502CN</t>
  </si>
  <si>
    <t>505C7</t>
  </si>
  <si>
    <t>505C10</t>
  </si>
  <si>
    <t>505C12</t>
  </si>
  <si>
    <t>T05CF</t>
  </si>
  <si>
    <t>873876001484</t>
  </si>
  <si>
    <t>T8034</t>
  </si>
  <si>
    <t>T8042</t>
  </si>
  <si>
    <t>T8054</t>
  </si>
  <si>
    <t>T8072</t>
  </si>
  <si>
    <t>CTPMP</t>
  </si>
  <si>
    <t>CTVLV</t>
  </si>
  <si>
    <t>CTBXC</t>
  </si>
  <si>
    <t>873876001521</t>
  </si>
  <si>
    <t>873876001538</t>
  </si>
  <si>
    <t>873876001545</t>
  </si>
  <si>
    <t>873876001552</t>
  </si>
  <si>
    <t>T14CF</t>
  </si>
  <si>
    <t>873876001569</t>
  </si>
  <si>
    <t>T14EC</t>
  </si>
  <si>
    <t>873876001576</t>
  </si>
  <si>
    <t>873876001606</t>
  </si>
  <si>
    <t>873876001590</t>
  </si>
  <si>
    <t>873876001583</t>
  </si>
  <si>
    <t>88TTF</t>
  </si>
  <si>
    <t>88TTA</t>
  </si>
  <si>
    <t>88TTN</t>
  </si>
  <si>
    <t>88TTR</t>
  </si>
  <si>
    <t>PA07H</t>
  </si>
  <si>
    <t>PA10H</t>
  </si>
  <si>
    <t>PA12H</t>
  </si>
  <si>
    <t>873876001798</t>
  </si>
  <si>
    <t>873876001774</t>
  </si>
  <si>
    <t>502F4X</t>
  </si>
  <si>
    <t>501F4AX</t>
  </si>
  <si>
    <t>17TTE</t>
  </si>
  <si>
    <t>Ship Box Height (cm)</t>
  </si>
  <si>
    <t>Ship Box Length (cm)</t>
  </si>
  <si>
    <t>Ship Box Width (cm)</t>
  </si>
  <si>
    <t>Ship Package Weight (kg)</t>
  </si>
  <si>
    <t>Ship Box Length (in)</t>
  </si>
  <si>
    <t>Ship Box Width (in)</t>
  </si>
  <si>
    <t>Ship Box Height (in)</t>
  </si>
  <si>
    <t>Ship Package Weight (lbs)</t>
  </si>
  <si>
    <t>501RD</t>
  </si>
  <si>
    <t>502ACF</t>
  </si>
  <si>
    <t>502BH</t>
  </si>
  <si>
    <t>CF07H</t>
  </si>
  <si>
    <t>7" Continuous Flow Finishing Box - High Capacity</t>
  </si>
  <si>
    <t>CF10H</t>
  </si>
  <si>
    <t>10" Continuous Flow Finishing Box - High Capacity</t>
  </si>
  <si>
    <t>CF12H</t>
  </si>
  <si>
    <t>12" Continuous Flow Finishing Box - High Capacity</t>
  </si>
  <si>
    <t>EasyClean Automatic Taper</t>
  </si>
  <si>
    <t>MudRunner</t>
  </si>
  <si>
    <t>Inside Corner Roller</t>
  </si>
  <si>
    <t>Mud Head for Outside Corner (90 Degrees)</t>
  </si>
  <si>
    <t>Mud Head for Inside Corner (90 Degrees)</t>
  </si>
  <si>
    <t>Outside Corner Roller</t>
  </si>
  <si>
    <t>Outside Corner Roller (for Flex Tape)</t>
  </si>
  <si>
    <t>873876000425</t>
  </si>
  <si>
    <t>7" EasyClean Finishing Box</t>
  </si>
  <si>
    <t>7" Power Assist Finishing Box</t>
  </si>
  <si>
    <t>10" EasyClean Finishing Box</t>
  </si>
  <si>
    <t>10" Power Assist Finishing Box</t>
  </si>
  <si>
    <t>12" EasyClean Finishing Box</t>
  </si>
  <si>
    <t>12" Power Assist Finishing Box</t>
  </si>
  <si>
    <t>8" Corner Applicator</t>
  </si>
  <si>
    <t>2" Corner Finisher</t>
  </si>
  <si>
    <t>3" Corner Finisher</t>
  </si>
  <si>
    <t>3" Easy Roll Adjustable Corner Finisher</t>
  </si>
  <si>
    <t>3.5" Easy Roll Adjustable Corner Finisher</t>
  </si>
  <si>
    <t>7" Corner Applicator</t>
  </si>
  <si>
    <t>2" EasyClean Nail Spotter</t>
  </si>
  <si>
    <t>3" EasyClean Nail Spotter</t>
  </si>
  <si>
    <t>EasyClean Loading Pump</t>
  </si>
  <si>
    <t>34" Finishing Box Handle</t>
  </si>
  <si>
    <t>42" Finishing Box Handle</t>
  </si>
  <si>
    <t>54" Finishing Box Handle</t>
  </si>
  <si>
    <t>72" Finishing Box Handle</t>
  </si>
  <si>
    <t>34" EasyFinish Finishing Box Handle</t>
  </si>
  <si>
    <t>42" EasyFinish Finishing Box Handle</t>
  </si>
  <si>
    <t>54" EasyFinish Finishing Box Handle</t>
  </si>
  <si>
    <t>72" EasyFinish Finishing Box Handle</t>
  </si>
  <si>
    <t>XTender Finishing Box Handle</t>
  </si>
  <si>
    <t>Corner Applicator Extension Handle</t>
  </si>
  <si>
    <t>Corner Finisher Extension Handle</t>
  </si>
  <si>
    <t>Nail Spotter Extension Handle</t>
  </si>
  <si>
    <t>Corner Roller Extension Handle</t>
  </si>
  <si>
    <t>Fiberglass Handle - Nail Spotter</t>
  </si>
  <si>
    <t>Fiberglass Handle - Corner Roller</t>
  </si>
  <si>
    <t>Fiberglass Handle - Corner Applicator</t>
  </si>
  <si>
    <t>Fiberglass Handle - Corner Finisher</t>
  </si>
  <si>
    <t>Taper Cleaning Kit</t>
  </si>
  <si>
    <t>873876001873</t>
  </si>
  <si>
    <t>873876001620</t>
  </si>
  <si>
    <t>873876001941</t>
  </si>
  <si>
    <t>873876001767</t>
  </si>
  <si>
    <t>873876001927</t>
  </si>
  <si>
    <t>873876001972</t>
  </si>
  <si>
    <t>Continuous Flow Taper</t>
  </si>
  <si>
    <t>873876001897</t>
  </si>
  <si>
    <t>873876001903</t>
  </si>
  <si>
    <t>873876001910</t>
  </si>
  <si>
    <t>Continuous Flow 34" Finishing Box Handle</t>
  </si>
  <si>
    <t>Continuous Flow 42" Finishing Box Handle</t>
  </si>
  <si>
    <t>Continuous Flow 54" Finishing Box Handle</t>
  </si>
  <si>
    <t>Continuous Flow 72" Finishing Box Handle</t>
  </si>
  <si>
    <t>Continuous Flow 42" Corner Finisher Handle</t>
  </si>
  <si>
    <t>Continuous Flow 60" Corner Finisher Handle</t>
  </si>
  <si>
    <t>Continuous Flow Finishing Box Controller</t>
  </si>
  <si>
    <t>EHC07</t>
  </si>
  <si>
    <t>EHC10</t>
  </si>
  <si>
    <t>EHC12</t>
  </si>
  <si>
    <r>
      <t>7" MAXXBOX</t>
    </r>
    <r>
      <rPr>
        <sz val="10"/>
        <rFont val="Calibri"/>
        <family val="2"/>
      </rPr>
      <t>™</t>
    </r>
    <r>
      <rPr>
        <sz val="10"/>
        <rFont val="Arial"/>
        <family val="2"/>
      </rPr>
      <t xml:space="preserve"> Extra High Capacity Finishing Box</t>
    </r>
  </si>
  <si>
    <r>
      <t>12" MAXXBOX</t>
    </r>
    <r>
      <rPr>
        <sz val="10"/>
        <rFont val="Calibri"/>
        <family val="2"/>
      </rPr>
      <t>™</t>
    </r>
    <r>
      <rPr>
        <sz val="10"/>
        <rFont val="Arial"/>
        <family val="2"/>
      </rPr>
      <t xml:space="preserve"> Extra High Capacity Finishing Box</t>
    </r>
  </si>
  <si>
    <r>
      <t>10" MAXXBOX</t>
    </r>
    <r>
      <rPr>
        <sz val="10"/>
        <rFont val="Calibri"/>
        <family val="2"/>
      </rPr>
      <t>™</t>
    </r>
    <r>
      <rPr>
        <sz val="10"/>
        <rFont val="Arial"/>
        <family val="2"/>
      </rPr>
      <t xml:space="preserve"> Extra High Capacity Finishing Box</t>
    </r>
  </si>
  <si>
    <t>76TT</t>
  </si>
  <si>
    <t>TTCTAP</t>
  </si>
  <si>
    <t>TTCFIN</t>
  </si>
  <si>
    <t>Taping Tools Case</t>
  </si>
  <si>
    <t>Finishing Tools Case</t>
  </si>
  <si>
    <t>Gooseneck (fits 72TT, 76TT pump)</t>
  </si>
  <si>
    <t>Filler Adapter (fits 72TT, 76TT pump)</t>
  </si>
  <si>
    <t>07TT</t>
  </si>
  <si>
    <t>8000TT</t>
  </si>
  <si>
    <t>8000TT-PA</t>
  </si>
  <si>
    <t>CF25TT</t>
  </si>
  <si>
    <t>2.5" Corner Flusher</t>
  </si>
  <si>
    <t>CF30TT</t>
  </si>
  <si>
    <t>3" Corner Flusher</t>
  </si>
  <si>
    <t>CF35TT</t>
  </si>
  <si>
    <t>3.5" Corner Flusher</t>
  </si>
  <si>
    <t>CF40TT</t>
  </si>
  <si>
    <t>4" Corner Flusher</t>
  </si>
  <si>
    <t>CT24TT</t>
  </si>
  <si>
    <t>24" Compound Tube</t>
  </si>
  <si>
    <t>CT36TT</t>
  </si>
  <si>
    <t>36" Compound Tube</t>
  </si>
  <si>
    <t>CT42TT</t>
  </si>
  <si>
    <t>42" Compound Tube</t>
  </si>
  <si>
    <t>CFK01TT</t>
  </si>
  <si>
    <t>CFK02TT</t>
  </si>
  <si>
    <t>Wizard Compact Finisher Box Handle</t>
  </si>
  <si>
    <t>Wizard Compact Finisher Box Handle for Power Assist Boxes</t>
  </si>
  <si>
    <t>42TT</t>
  </si>
  <si>
    <t>2.5" Corner Finisher</t>
  </si>
  <si>
    <t>Model</t>
  </si>
  <si>
    <t>200</t>
  </si>
  <si>
    <t>215</t>
  </si>
  <si>
    <t>335</t>
  </si>
  <si>
    <t>340</t>
  </si>
  <si>
    <t>144001</t>
  </si>
  <si>
    <t>CFSKIT1</t>
  </si>
  <si>
    <t>CFSKIT2</t>
  </si>
  <si>
    <t>CFSKIT3</t>
  </si>
  <si>
    <t>501B1</t>
  </si>
  <si>
    <t>MudRunner Tube Replacement Kit</t>
  </si>
  <si>
    <t>4.25</t>
  </si>
  <si>
    <t>CFS Taper/CFS Corner Finisher Flow Controller</t>
  </si>
  <si>
    <t>PAHC10</t>
  </si>
  <si>
    <t>PAHC07</t>
  </si>
  <si>
    <t>PAHC12</t>
  </si>
  <si>
    <t>12" Power Assist MAXXBOX Extra High Capacity Finishing Box</t>
  </si>
  <si>
    <t>10" Power Assist MAXXBOX Extra High Capacity Finishing Box</t>
  </si>
  <si>
    <t>7" Power Assist MAXXBOX Extra High Capacity Finishing Box</t>
  </si>
  <si>
    <t>502F25</t>
  </si>
  <si>
    <t>2.5" Corner Fin. Blade Change Kit - 42TT</t>
  </si>
  <si>
    <t>2.5" Corner Fin. Maintenance Kit - 42TT</t>
  </si>
  <si>
    <t>501F25A</t>
  </si>
  <si>
    <t>CTEPMP</t>
  </si>
  <si>
    <t>Gooser Assembly Replacement Kit</t>
  </si>
  <si>
    <t>Drive Dog Assembly Replacement Kit</t>
  </si>
  <si>
    <t>Piston Assembly Replacement Kit</t>
  </si>
  <si>
    <t>Cutter Chain Assembly Replacement Kit</t>
  </si>
  <si>
    <t>Taper Wear Parts Kit</t>
  </si>
  <si>
    <t>Pump Wear Parts Kit - B74TT/B75TT</t>
  </si>
  <si>
    <t>10" Wear Parts Kit - 25TTX/EHC10/PA10H</t>
  </si>
  <si>
    <t>12" Wear Parts Kit - 30TTX/EHC12/PA12H</t>
  </si>
  <si>
    <t>7" Wear Parts Kit - 20TTX/EHC07/PA07H</t>
  </si>
  <si>
    <t>2" Corner Fin. Maintenance Kit - 40TT</t>
  </si>
  <si>
    <t>3" Corner Fin. Maintenance Kit - 45TT</t>
  </si>
  <si>
    <t>3" Corner Fin. Maintenance Kit - 48TT</t>
  </si>
  <si>
    <t>3.5" Corner Fin. Maintenance Kit - 48XTT</t>
  </si>
  <si>
    <t>Pump Wear Parts Kit - 72TT/73TT</t>
  </si>
  <si>
    <t>Pump Cleaning Kit</t>
  </si>
  <si>
    <t>Corner Roller Replacement Kit - 17TT</t>
  </si>
  <si>
    <t>Corner Roller Replacement Kit - 15TTE</t>
  </si>
  <si>
    <t>Taper Tune Up Kit</t>
  </si>
  <si>
    <t>Taper Tune Up Kit - CFS</t>
  </si>
  <si>
    <t>Pump Tune Up Kit - B74TT/B75TT</t>
  </si>
  <si>
    <t>Finishing Box Wheel Replacement Kit</t>
  </si>
  <si>
    <t>2" Corner Fin. Blade Change Kit - 40TT</t>
  </si>
  <si>
    <t>3" Corner Fin. Blade Change Kit - 45TT</t>
  </si>
  <si>
    <t>3" Corner Fin. Blade Change Kit - 48TT</t>
  </si>
  <si>
    <t>3.5" Cor. Fin. Blade Change Kit - 48XTT</t>
  </si>
  <si>
    <t>Pump Tune Up Kit - 72TT/73TT/76TT</t>
  </si>
  <si>
    <t>10" Fin. Box Wear Parts Kit - 27TT/28TT</t>
  </si>
  <si>
    <t>12" Fin. Box Wear Parts Kit - 32TT/33TT</t>
  </si>
  <si>
    <t>7" Fin. Box Wear Parts Kit - 22TT/24TT</t>
  </si>
  <si>
    <t>CFS Tools Wear Parts Kit - Basic</t>
  </si>
  <si>
    <t>CFS Tools Wear Parts Kit - Standard</t>
  </si>
  <si>
    <t>CFS Tools Wear Parts Kit - Premium</t>
  </si>
  <si>
    <t>Roller Kit for Corner Flushers</t>
  </si>
  <si>
    <t>Creaser Wheel Kit for Corner Flushers</t>
  </si>
  <si>
    <t>QB06-QSX</t>
  </si>
  <si>
    <t>QuickBox QSX Finishing Box</t>
  </si>
  <si>
    <t>EZ07TT</t>
  </si>
  <si>
    <t>EZ10TT</t>
  </si>
  <si>
    <t>EZ12TT</t>
  </si>
  <si>
    <r>
      <t>12" EasyClean</t>
    </r>
    <r>
      <rPr>
        <sz val="10"/>
        <rFont val="Calibri"/>
        <family val="2"/>
      </rPr>
      <t>®</t>
    </r>
    <r>
      <rPr>
        <sz val="10"/>
        <rFont val="Arial"/>
        <family val="2"/>
      </rPr>
      <t xml:space="preserve"> Finishing Box with EasyRoll</t>
    </r>
    <r>
      <rPr>
        <sz val="10"/>
        <rFont val="Calibri"/>
        <family val="2"/>
      </rPr>
      <t>™</t>
    </r>
    <r>
      <rPr>
        <sz val="10"/>
        <rFont val="Arial"/>
        <family val="2"/>
      </rPr>
      <t xml:space="preserve"> Wheels</t>
    </r>
  </si>
  <si>
    <t>10" EasyClean® Finishing Box with EasyRoll™ Wheels</t>
  </si>
  <si>
    <t>7" EasyClean® Finishing Box with EasyRoll™ Wheels</t>
  </si>
  <si>
    <t>FHTT</t>
  </si>
  <si>
    <t>XHTT</t>
  </si>
  <si>
    <t>EZROLL7-A</t>
  </si>
  <si>
    <t>EZROLL10-A</t>
  </si>
  <si>
    <t>EZROLL12-A</t>
  </si>
  <si>
    <t>EZROLL7-B</t>
  </si>
  <si>
    <t>EZROLL10-B</t>
  </si>
  <si>
    <t>EZROLL12-B</t>
  </si>
  <si>
    <t>CAA-TT</t>
  </si>
  <si>
    <t>CFA-TT</t>
  </si>
  <si>
    <t>NSA-TT</t>
  </si>
  <si>
    <t>NS03TT</t>
  </si>
  <si>
    <t>NS02TT</t>
  </si>
  <si>
    <t>CA07TT</t>
  </si>
  <si>
    <t>CA08TT</t>
  </si>
  <si>
    <t>058707</t>
  </si>
  <si>
    <t>TapeTech Bazooka Oil</t>
  </si>
  <si>
    <t>7" EasyRoll™ Wheel Conversion Kit for EasyClean® Box</t>
  </si>
  <si>
    <t>10" EasyRoll™ Wheel Conversion Kit for EasyClean® Box</t>
  </si>
  <si>
    <t>12" EasyRoll™ Wheel Conversion Kit for EasyClean® Box</t>
  </si>
  <si>
    <t>7" EasyRoll™ Wheel Conversion Kit for PA or MAXXBOX®</t>
  </si>
  <si>
    <t>10" EasyRoll™ Wheel Conversion Kit for PA or MAXXBOX®</t>
  </si>
  <si>
    <t>12" EasyRoll™ Wheel Conversion Kit for PA or MAXXBOX®</t>
  </si>
  <si>
    <t>Corner Applicator Adapter for FHTT/XHTT Support Handles</t>
  </si>
  <si>
    <t>Corner Finisher Adapter for FHTT/XHTT Support Handles</t>
  </si>
  <si>
    <t>Nail Spotter Adapter for FHTT/XHTT Support Handles</t>
  </si>
  <si>
    <t>Interchangeable Fiberglass Support Handle</t>
  </si>
  <si>
    <t>Interchangeable Extendable Support Handle</t>
  </si>
  <si>
    <t>501J</t>
  </si>
  <si>
    <t>Pump Maintenance Kit  -76TT</t>
  </si>
  <si>
    <t>QB6023 - 5</t>
  </si>
  <si>
    <t>QB6033 - 5</t>
  </si>
  <si>
    <t>QuickBox™ QSX Blades : For Exterior Seaming (Yellow) – 5 pack</t>
  </si>
  <si>
    <t>QB6043 - 5</t>
  </si>
  <si>
    <t>QB6003 - 5</t>
  </si>
  <si>
    <t>CH55TT</t>
  </si>
  <si>
    <t>CH75TT</t>
  </si>
  <si>
    <t>CH83TT</t>
  </si>
  <si>
    <t>CH90TT</t>
  </si>
  <si>
    <t>EZROLL KIT</t>
  </si>
  <si>
    <t>EasyRoll Finishing Box Wheel Replacement Kit</t>
  </si>
  <si>
    <t>QuickBox™ QSX Blades: Flat Finishing (Black) – 5 pack</t>
  </si>
  <si>
    <t>QuickBox™ QSX Blades: .045 Crown Finishing (White) – 5 pack</t>
  </si>
  <si>
    <t>QuickBox™ QSX Blades: Notched for Adhesives (Green) – 5 pack</t>
  </si>
  <si>
    <t>76TT-CA</t>
  </si>
  <si>
    <t>EasyClean Loading Pump -Canada</t>
  </si>
  <si>
    <t>GSR-TT</t>
  </si>
  <si>
    <t>Gooseneck Riser for 76TT-CA</t>
  </si>
  <si>
    <t>Cove Applicator Head - 55 mm</t>
  </si>
  <si>
    <t>Cove Applicator Head - 75 mm</t>
  </si>
  <si>
    <t>Cove Applicator Head - 83mm</t>
  </si>
  <si>
    <t>Cove Applicator Head - 90 mm</t>
  </si>
  <si>
    <t>BX07TT</t>
  </si>
  <si>
    <t>BX10TT</t>
  </si>
  <si>
    <t>BX14TT</t>
  </si>
  <si>
    <t>BX18TT</t>
  </si>
  <si>
    <t>BX24TT</t>
  </si>
  <si>
    <t>BX32TT</t>
  </si>
  <si>
    <t>BX40TT</t>
  </si>
  <si>
    <t>BX48TT</t>
  </si>
  <si>
    <t>BXEH40TT</t>
  </si>
  <si>
    <t>14" Premium Wipe Down Knife</t>
  </si>
  <si>
    <t>18" Premium Finishing Knife</t>
  </si>
  <si>
    <t>24" Premium Finishing Knife</t>
  </si>
  <si>
    <t>32" Premium Finishing Knife</t>
  </si>
  <si>
    <t>48" Premium Finishing Knife</t>
  </si>
  <si>
    <t>Premium Knife Extension Handle (40" - 80")</t>
  </si>
  <si>
    <t>40" Premium Finishing Knife</t>
  </si>
  <si>
    <t>7" Premium Wipe Down Knife</t>
  </si>
  <si>
    <t>10" Premium Wipe Down Knife</t>
  </si>
  <si>
    <t>CTAPMP</t>
  </si>
  <si>
    <t>CTUPMP</t>
  </si>
  <si>
    <t>Continuous Flow Pump - Australia/NZ (230V)</t>
  </si>
  <si>
    <t>Continuous Flow Pump - UK (110V)</t>
  </si>
  <si>
    <t>Continuous Flow Pump - Europe (220V)</t>
  </si>
  <si>
    <t>Continuous Flow Pump - USA/Canada (110V)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</si>
</sst>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top"/>
    </xf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4" fontId="1" fillId="4" borderId="3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4" fontId="1" fillId="3" borderId="5" xfId="0" applyNumberFormat="1" applyFont="1" applyFill="1" applyBorder="1" applyAlignment="1">
      <alignment horizontal="center" vertical="center" wrapText="1"/>
    </xf>
    <xf numFmtId="4" fontId="1" fillId="3" borderId="6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3" fontId="2" fillId="0" borderId="1" xfId="0" quotePrefix="1" applyNumberFormat="1" applyFont="1" applyFill="1" applyBorder="1" applyAlignment="1">
      <alignment horizontal="center"/>
    </xf>
    <xf numFmtId="1" fontId="2" fillId="0" borderId="1" xfId="0" quotePrefix="1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abSelected="1" zoomScale="80" workbookViewId="0">
      <pane xSplit="2" ySplit="1" topLeftCell="C2" activePane="bottomRight" state="frozen"/>
      <selection pane="topRight" activeCell="H1" sqref="H1"/>
      <selection pane="bottomLeft" activeCell="A3" sqref="A3"/>
      <selection pane="bottomRight"/>
    </sheetView>
  </sheetViews>
  <sheetFormatPr defaultRowHeight="12.75" x14ac:dyDescent="0.2"/>
  <cols>
    <col min="1" max="1" width="13.140625" bestFit="1" customWidth="1"/>
    <col min="2" max="2" width="61" bestFit="1" customWidth="1"/>
    <col min="3" max="3" width="16.5703125" style="2" customWidth="1"/>
    <col min="4" max="6" width="13.7109375" customWidth="1"/>
    <col min="7" max="7" width="16" customWidth="1"/>
    <col min="8" max="10" width="13.7109375" customWidth="1"/>
    <col min="11" max="11" width="14.7109375" customWidth="1"/>
  </cols>
  <sheetData>
    <row r="1" spans="1:11" s="1" customFormat="1" ht="25.5" x14ac:dyDescent="0.2">
      <c r="A1" s="3" t="s">
        <v>228</v>
      </c>
      <c r="B1" s="3" t="s">
        <v>0</v>
      </c>
      <c r="C1" s="10" t="s">
        <v>1</v>
      </c>
      <c r="D1" s="22" t="s">
        <v>121</v>
      </c>
      <c r="E1" s="23" t="s">
        <v>122</v>
      </c>
      <c r="F1" s="23" t="s">
        <v>123</v>
      </c>
      <c r="G1" s="24" t="s">
        <v>124</v>
      </c>
      <c r="H1" s="11" t="s">
        <v>118</v>
      </c>
      <c r="I1" s="8" t="s">
        <v>119</v>
      </c>
      <c r="J1" s="8" t="s">
        <v>117</v>
      </c>
      <c r="K1" s="12" t="s">
        <v>120</v>
      </c>
    </row>
    <row r="2" spans="1:11" x14ac:dyDescent="0.2">
      <c r="A2" s="4" t="s">
        <v>205</v>
      </c>
      <c r="B2" s="5" t="s">
        <v>134</v>
      </c>
      <c r="C2" s="16">
        <v>873876002146</v>
      </c>
      <c r="D2" s="17">
        <v>55</v>
      </c>
      <c r="E2" s="6">
        <v>7</v>
      </c>
      <c r="F2" s="6">
        <v>7</v>
      </c>
      <c r="G2" s="18">
        <v>9.25</v>
      </c>
      <c r="H2" s="13">
        <v>140</v>
      </c>
      <c r="I2" s="9">
        <v>18</v>
      </c>
      <c r="J2" s="9">
        <v>18</v>
      </c>
      <c r="K2" s="14">
        <v>4.1957294225000004</v>
      </c>
    </row>
    <row r="3" spans="1:11" x14ac:dyDescent="0.2">
      <c r="A3" s="4" t="s">
        <v>4</v>
      </c>
      <c r="B3" s="5" t="s">
        <v>135</v>
      </c>
      <c r="C3" s="15" t="s">
        <v>5</v>
      </c>
      <c r="D3" s="17">
        <v>65</v>
      </c>
      <c r="E3" s="6">
        <v>6.5</v>
      </c>
      <c r="F3" s="6">
        <v>6.5</v>
      </c>
      <c r="G3" s="18">
        <v>8.75</v>
      </c>
      <c r="H3" s="13">
        <v>166</v>
      </c>
      <c r="I3" s="9">
        <v>17</v>
      </c>
      <c r="J3" s="9">
        <v>17</v>
      </c>
      <c r="K3" s="14">
        <v>3.9689332375000004</v>
      </c>
    </row>
    <row r="4" spans="1:11" x14ac:dyDescent="0.2">
      <c r="A4" s="4" t="s">
        <v>3</v>
      </c>
      <c r="B4" s="5" t="s">
        <v>136</v>
      </c>
      <c r="C4" s="15" t="s">
        <v>12</v>
      </c>
      <c r="D4" s="17">
        <v>8</v>
      </c>
      <c r="E4" s="6">
        <v>4</v>
      </c>
      <c r="F4" s="6">
        <v>4</v>
      </c>
      <c r="G4" s="18">
        <v>1.9</v>
      </c>
      <c r="H4" s="13">
        <v>21</v>
      </c>
      <c r="I4" s="9">
        <v>11</v>
      </c>
      <c r="J4" s="9">
        <v>11</v>
      </c>
      <c r="K4" s="14">
        <v>0.86182550300000005</v>
      </c>
    </row>
    <row r="5" spans="1:11" x14ac:dyDescent="0.2">
      <c r="A5" s="4" t="s">
        <v>10</v>
      </c>
      <c r="B5" s="5" t="s">
        <v>137</v>
      </c>
      <c r="C5" s="15" t="s">
        <v>14</v>
      </c>
      <c r="D5" s="17">
        <v>6.5</v>
      </c>
      <c r="E5" s="6">
        <v>4.5</v>
      </c>
      <c r="F5" s="6">
        <v>4.5</v>
      </c>
      <c r="G5" s="18">
        <v>0.6</v>
      </c>
      <c r="H5" s="13">
        <v>17</v>
      </c>
      <c r="I5" s="9">
        <v>12</v>
      </c>
      <c r="J5" s="9">
        <v>12</v>
      </c>
      <c r="K5" s="14">
        <v>0.27215542199999998</v>
      </c>
    </row>
    <row r="6" spans="1:11" x14ac:dyDescent="0.2">
      <c r="A6" s="4" t="s">
        <v>11</v>
      </c>
      <c r="B6" s="5" t="s">
        <v>138</v>
      </c>
      <c r="C6" s="15" t="s">
        <v>18</v>
      </c>
      <c r="D6" s="17">
        <v>6.5</v>
      </c>
      <c r="E6" s="6">
        <v>4.5</v>
      </c>
      <c r="F6" s="6">
        <v>4.5</v>
      </c>
      <c r="G6" s="18">
        <v>0.55000000000000004</v>
      </c>
      <c r="H6" s="13">
        <v>17</v>
      </c>
      <c r="I6" s="9">
        <v>12</v>
      </c>
      <c r="J6" s="9">
        <v>12</v>
      </c>
      <c r="K6" s="14">
        <v>0.24947580350000004</v>
      </c>
    </row>
    <row r="7" spans="1:11" x14ac:dyDescent="0.2">
      <c r="A7" s="4" t="s">
        <v>19</v>
      </c>
      <c r="B7" s="5" t="s">
        <v>139</v>
      </c>
      <c r="C7" s="15" t="s">
        <v>20</v>
      </c>
      <c r="D7" s="17">
        <v>6.5</v>
      </c>
      <c r="E7" s="6">
        <v>4.5</v>
      </c>
      <c r="F7" s="6">
        <v>4.5</v>
      </c>
      <c r="G7" s="18">
        <v>1.65</v>
      </c>
      <c r="H7" s="13">
        <v>17</v>
      </c>
      <c r="I7" s="9">
        <v>12</v>
      </c>
      <c r="J7" s="9">
        <v>12</v>
      </c>
      <c r="K7" s="14">
        <v>0.74842741049999995</v>
      </c>
    </row>
    <row r="8" spans="1:11" x14ac:dyDescent="0.2">
      <c r="A8" s="4" t="s">
        <v>116</v>
      </c>
      <c r="B8" s="5" t="s">
        <v>140</v>
      </c>
      <c r="C8" s="15" t="s">
        <v>141</v>
      </c>
      <c r="D8" s="17">
        <v>6.5</v>
      </c>
      <c r="E8" s="6">
        <v>4.5</v>
      </c>
      <c r="F8" s="6">
        <v>4.5</v>
      </c>
      <c r="G8" s="18">
        <v>1.65</v>
      </c>
      <c r="H8" s="13">
        <v>17</v>
      </c>
      <c r="I8" s="9">
        <v>12</v>
      </c>
      <c r="J8" s="9">
        <v>12</v>
      </c>
      <c r="K8" s="14">
        <v>0.74842741049999995</v>
      </c>
    </row>
    <row r="9" spans="1:11" x14ac:dyDescent="0.2">
      <c r="A9" s="4" t="s">
        <v>21</v>
      </c>
      <c r="B9" s="5" t="s">
        <v>142</v>
      </c>
      <c r="C9" s="15" t="s">
        <v>22</v>
      </c>
      <c r="D9" s="17">
        <v>10</v>
      </c>
      <c r="E9" s="6">
        <v>6</v>
      </c>
      <c r="F9" s="6">
        <v>4</v>
      </c>
      <c r="G9" s="18">
        <v>2.75</v>
      </c>
      <c r="H9" s="13">
        <v>26</v>
      </c>
      <c r="I9" s="9">
        <v>16</v>
      </c>
      <c r="J9" s="9">
        <v>11</v>
      </c>
      <c r="K9" s="14">
        <v>1.2473790175000001</v>
      </c>
    </row>
    <row r="10" spans="1:11" x14ac:dyDescent="0.2">
      <c r="A10" s="4" t="s">
        <v>288</v>
      </c>
      <c r="B10" s="5" t="s">
        <v>293</v>
      </c>
      <c r="C10" s="16">
        <v>873876002603</v>
      </c>
      <c r="D10" s="17">
        <v>10</v>
      </c>
      <c r="E10" s="6">
        <v>6</v>
      </c>
      <c r="F10" s="6">
        <v>4</v>
      </c>
      <c r="G10" s="18">
        <v>2.75</v>
      </c>
      <c r="H10" s="13">
        <v>26</v>
      </c>
      <c r="I10" s="9">
        <v>16</v>
      </c>
      <c r="J10" s="9">
        <v>11</v>
      </c>
      <c r="K10" s="14">
        <v>1.2473790175000001</v>
      </c>
    </row>
    <row r="11" spans="1:11" x14ac:dyDescent="0.2">
      <c r="A11" s="4" t="s">
        <v>109</v>
      </c>
      <c r="B11" s="5" t="s">
        <v>143</v>
      </c>
      <c r="C11" s="19" t="s">
        <v>113</v>
      </c>
      <c r="D11" s="17">
        <v>9</v>
      </c>
      <c r="E11" s="6">
        <v>8</v>
      </c>
      <c r="F11" s="6">
        <v>6</v>
      </c>
      <c r="G11" s="18">
        <v>4.0999999999999996</v>
      </c>
      <c r="H11" s="13">
        <v>23</v>
      </c>
      <c r="I11" s="9">
        <v>21</v>
      </c>
      <c r="J11" s="9">
        <v>16</v>
      </c>
      <c r="K11" s="14">
        <v>1.8597287169999999</v>
      </c>
    </row>
    <row r="12" spans="1:11" x14ac:dyDescent="0.2">
      <c r="A12" s="4" t="s">
        <v>242</v>
      </c>
      <c r="B12" s="5" t="s">
        <v>246</v>
      </c>
      <c r="C12" s="19">
        <v>873876002306</v>
      </c>
      <c r="D12" s="17">
        <v>9</v>
      </c>
      <c r="E12" s="6">
        <v>8</v>
      </c>
      <c r="F12" s="6">
        <v>6</v>
      </c>
      <c r="G12" s="18">
        <v>4.2</v>
      </c>
      <c r="H12" s="13">
        <v>23</v>
      </c>
      <c r="I12" s="9">
        <v>21</v>
      </c>
      <c r="J12" s="9">
        <v>16</v>
      </c>
      <c r="K12" s="14">
        <f t="shared" ref="K12" si="0">G12*0.45359237</f>
        <v>1.9050879540000001</v>
      </c>
    </row>
    <row r="13" spans="1:11" x14ac:dyDescent="0.2">
      <c r="A13" s="4" t="s">
        <v>192</v>
      </c>
      <c r="B13" s="5" t="s">
        <v>195</v>
      </c>
      <c r="C13" s="19">
        <v>873876002115</v>
      </c>
      <c r="D13" s="17">
        <v>9</v>
      </c>
      <c r="E13" s="6">
        <v>8</v>
      </c>
      <c r="F13" s="6">
        <v>6</v>
      </c>
      <c r="G13" s="18">
        <v>4</v>
      </c>
      <c r="H13" s="13">
        <v>23</v>
      </c>
      <c r="I13" s="9">
        <v>21</v>
      </c>
      <c r="J13" s="9">
        <v>16</v>
      </c>
      <c r="K13" s="14">
        <v>1.81</v>
      </c>
    </row>
    <row r="14" spans="1:11" x14ac:dyDescent="0.2">
      <c r="A14" s="4" t="s">
        <v>32</v>
      </c>
      <c r="B14" s="5" t="s">
        <v>144</v>
      </c>
      <c r="C14" s="16" t="s">
        <v>33</v>
      </c>
      <c r="D14" s="17">
        <v>12</v>
      </c>
      <c r="E14" s="6">
        <v>6</v>
      </c>
      <c r="F14" s="6">
        <v>4</v>
      </c>
      <c r="G14" s="18">
        <v>3.3</v>
      </c>
      <c r="H14" s="13">
        <v>31</v>
      </c>
      <c r="I14" s="9">
        <v>16</v>
      </c>
      <c r="J14" s="9">
        <v>11</v>
      </c>
      <c r="K14" s="14">
        <v>1.4968548209999999</v>
      </c>
    </row>
    <row r="15" spans="1:11" x14ac:dyDescent="0.2">
      <c r="A15" s="4" t="s">
        <v>289</v>
      </c>
      <c r="B15" s="5" t="s">
        <v>292</v>
      </c>
      <c r="C15" s="16">
        <v>873876002610</v>
      </c>
      <c r="D15" s="17">
        <v>12</v>
      </c>
      <c r="E15" s="6">
        <v>6</v>
      </c>
      <c r="F15" s="6">
        <v>4</v>
      </c>
      <c r="G15" s="18">
        <v>3.3</v>
      </c>
      <c r="H15" s="13">
        <v>31</v>
      </c>
      <c r="I15" s="9">
        <v>16</v>
      </c>
      <c r="J15" s="9">
        <v>11</v>
      </c>
      <c r="K15" s="14">
        <v>1.4968548209999999</v>
      </c>
    </row>
    <row r="16" spans="1:11" x14ac:dyDescent="0.2">
      <c r="A16" s="4" t="s">
        <v>110</v>
      </c>
      <c r="B16" s="5" t="s">
        <v>145</v>
      </c>
      <c r="C16" s="19" t="s">
        <v>112</v>
      </c>
      <c r="D16" s="17">
        <v>12</v>
      </c>
      <c r="E16" s="6">
        <v>8</v>
      </c>
      <c r="F16" s="6">
        <v>6</v>
      </c>
      <c r="G16" s="18">
        <v>4.7</v>
      </c>
      <c r="H16" s="13">
        <v>31</v>
      </c>
      <c r="I16" s="9">
        <v>21</v>
      </c>
      <c r="J16" s="9">
        <v>16</v>
      </c>
      <c r="K16" s="14">
        <v>2.1318841390000003</v>
      </c>
    </row>
    <row r="17" spans="1:11" x14ac:dyDescent="0.2">
      <c r="A17" s="4" t="s">
        <v>241</v>
      </c>
      <c r="B17" s="5" t="s">
        <v>245</v>
      </c>
      <c r="C17" s="19">
        <v>873876002313</v>
      </c>
      <c r="D17" s="17">
        <v>12</v>
      </c>
      <c r="E17" s="6">
        <v>8</v>
      </c>
      <c r="F17" s="6">
        <v>6</v>
      </c>
      <c r="G17" s="18">
        <v>4.8</v>
      </c>
      <c r="H17" s="13">
        <v>31</v>
      </c>
      <c r="I17" s="9">
        <v>21</v>
      </c>
      <c r="J17" s="9">
        <v>16</v>
      </c>
      <c r="K17" s="14">
        <f t="shared" ref="K17" si="1">G17*0.45359237</f>
        <v>2.1772433759999998</v>
      </c>
    </row>
    <row r="18" spans="1:11" x14ac:dyDescent="0.2">
      <c r="A18" s="4" t="s">
        <v>193</v>
      </c>
      <c r="B18" s="5" t="s">
        <v>197</v>
      </c>
      <c r="C18" s="19">
        <v>873876002122</v>
      </c>
      <c r="D18" s="17">
        <v>12</v>
      </c>
      <c r="E18" s="6">
        <v>8</v>
      </c>
      <c r="F18" s="6">
        <v>6</v>
      </c>
      <c r="G18" s="18">
        <v>4.5</v>
      </c>
      <c r="H18" s="13">
        <v>31</v>
      </c>
      <c r="I18" s="9">
        <v>21</v>
      </c>
      <c r="J18" s="9">
        <v>16</v>
      </c>
      <c r="K18" s="14">
        <v>2.04</v>
      </c>
    </row>
    <row r="19" spans="1:11" x14ac:dyDescent="0.2">
      <c r="A19" s="4" t="s">
        <v>34</v>
      </c>
      <c r="B19" s="5" t="s">
        <v>146</v>
      </c>
      <c r="C19" s="16" t="s">
        <v>35</v>
      </c>
      <c r="D19" s="17">
        <v>14</v>
      </c>
      <c r="E19" s="6">
        <v>6</v>
      </c>
      <c r="F19" s="6">
        <v>4</v>
      </c>
      <c r="G19" s="18">
        <v>3.85</v>
      </c>
      <c r="H19" s="13">
        <v>36</v>
      </c>
      <c r="I19" s="9">
        <v>16</v>
      </c>
      <c r="J19" s="9">
        <v>11</v>
      </c>
      <c r="K19" s="14">
        <v>1.7463306245000001</v>
      </c>
    </row>
    <row r="20" spans="1:11" x14ac:dyDescent="0.2">
      <c r="A20" s="4" t="s">
        <v>290</v>
      </c>
      <c r="B20" s="5" t="s">
        <v>291</v>
      </c>
      <c r="C20" s="16">
        <v>873876002627</v>
      </c>
      <c r="D20" s="17">
        <v>14</v>
      </c>
      <c r="E20" s="6">
        <v>6</v>
      </c>
      <c r="F20" s="6">
        <v>4</v>
      </c>
      <c r="G20" s="18">
        <v>3.85</v>
      </c>
      <c r="H20" s="13">
        <v>36</v>
      </c>
      <c r="I20" s="9">
        <v>16</v>
      </c>
      <c r="J20" s="9">
        <v>11</v>
      </c>
      <c r="K20" s="14">
        <v>1.7463306245000001</v>
      </c>
    </row>
    <row r="21" spans="1:11" x14ac:dyDescent="0.2">
      <c r="A21" s="4" t="s">
        <v>111</v>
      </c>
      <c r="B21" s="5" t="s">
        <v>147</v>
      </c>
      <c r="C21" s="16" t="s">
        <v>36</v>
      </c>
      <c r="D21" s="17">
        <v>14</v>
      </c>
      <c r="E21" s="6">
        <v>8</v>
      </c>
      <c r="F21" s="6">
        <v>6</v>
      </c>
      <c r="G21" s="18">
        <v>5.15</v>
      </c>
      <c r="H21" s="13">
        <v>36</v>
      </c>
      <c r="I21" s="9">
        <v>21</v>
      </c>
      <c r="J21" s="9">
        <v>16</v>
      </c>
      <c r="K21" s="14">
        <v>2.3360007055000005</v>
      </c>
    </row>
    <row r="22" spans="1:11" x14ac:dyDescent="0.2">
      <c r="A22" s="4" t="s">
        <v>243</v>
      </c>
      <c r="B22" s="5" t="s">
        <v>244</v>
      </c>
      <c r="C22" s="16">
        <v>873876002320</v>
      </c>
      <c r="D22" s="17">
        <v>14</v>
      </c>
      <c r="E22" s="6">
        <v>8</v>
      </c>
      <c r="F22" s="6">
        <v>6</v>
      </c>
      <c r="G22" s="18">
        <v>5.2</v>
      </c>
      <c r="H22" s="13">
        <v>36</v>
      </c>
      <c r="I22" s="9">
        <v>21</v>
      </c>
      <c r="J22" s="9">
        <v>16</v>
      </c>
      <c r="K22" s="14">
        <f t="shared" ref="K22" si="2">G22*0.45359237</f>
        <v>2.3586803240000003</v>
      </c>
    </row>
    <row r="23" spans="1:11" x14ac:dyDescent="0.2">
      <c r="A23" s="4" t="s">
        <v>194</v>
      </c>
      <c r="B23" s="5" t="s">
        <v>196</v>
      </c>
      <c r="C23" s="16">
        <v>873876002139</v>
      </c>
      <c r="D23" s="17">
        <v>14</v>
      </c>
      <c r="E23" s="6">
        <v>8</v>
      </c>
      <c r="F23" s="6">
        <v>6</v>
      </c>
      <c r="G23" s="18">
        <v>5</v>
      </c>
      <c r="H23" s="13">
        <v>36</v>
      </c>
      <c r="I23" s="9">
        <v>21</v>
      </c>
      <c r="J23" s="9">
        <v>16</v>
      </c>
      <c r="K23" s="14">
        <v>2.27</v>
      </c>
    </row>
    <row r="24" spans="1:11" x14ac:dyDescent="0.2">
      <c r="A24" s="4" t="s">
        <v>15</v>
      </c>
      <c r="B24" s="5" t="s">
        <v>148</v>
      </c>
      <c r="C24" s="16" t="s">
        <v>37</v>
      </c>
      <c r="D24" s="17">
        <v>9</v>
      </c>
      <c r="E24" s="6">
        <v>9</v>
      </c>
      <c r="F24" s="6">
        <v>4</v>
      </c>
      <c r="G24" s="18">
        <v>2.8</v>
      </c>
      <c r="H24" s="13">
        <v>23</v>
      </c>
      <c r="I24" s="9">
        <v>23</v>
      </c>
      <c r="J24" s="9">
        <v>11</v>
      </c>
      <c r="K24" s="14">
        <v>1.2700586359999999</v>
      </c>
    </row>
    <row r="25" spans="1:11" x14ac:dyDescent="0.2">
      <c r="A25" s="4" t="s">
        <v>307</v>
      </c>
      <c r="B25" s="5" t="s">
        <v>153</v>
      </c>
      <c r="C25" s="16">
        <v>873876002788</v>
      </c>
      <c r="D25" s="17">
        <v>8</v>
      </c>
      <c r="E25" s="6">
        <v>8</v>
      </c>
      <c r="F25" s="6">
        <v>4</v>
      </c>
      <c r="G25" s="18">
        <v>2.5</v>
      </c>
      <c r="H25" s="13">
        <v>21</v>
      </c>
      <c r="I25" s="9">
        <v>21</v>
      </c>
      <c r="J25" s="9">
        <v>11</v>
      </c>
      <c r="K25" s="14">
        <v>1.1299999999999999</v>
      </c>
    </row>
    <row r="26" spans="1:11" x14ac:dyDescent="0.2">
      <c r="A26" s="4" t="s">
        <v>308</v>
      </c>
      <c r="B26" s="5" t="s">
        <v>148</v>
      </c>
      <c r="C26" s="16">
        <v>873876002795</v>
      </c>
      <c r="D26" s="17">
        <v>9</v>
      </c>
      <c r="E26" s="6">
        <v>9</v>
      </c>
      <c r="F26" s="6">
        <v>4</v>
      </c>
      <c r="G26" s="18">
        <v>2.8</v>
      </c>
      <c r="H26" s="13">
        <v>23</v>
      </c>
      <c r="I26" s="9">
        <v>23</v>
      </c>
      <c r="J26" s="9">
        <v>11</v>
      </c>
      <c r="K26" s="14">
        <v>1.27</v>
      </c>
    </row>
    <row r="27" spans="1:11" x14ac:dyDescent="0.2">
      <c r="A27" s="4" t="s">
        <v>6</v>
      </c>
      <c r="B27" s="5" t="s">
        <v>149</v>
      </c>
      <c r="C27" s="16" t="s">
        <v>39</v>
      </c>
      <c r="D27" s="17">
        <v>6</v>
      </c>
      <c r="E27" s="6">
        <v>4</v>
      </c>
      <c r="F27" s="6">
        <v>4</v>
      </c>
      <c r="G27" s="18">
        <v>0.7</v>
      </c>
      <c r="H27" s="13">
        <v>16</v>
      </c>
      <c r="I27" s="9">
        <v>11</v>
      </c>
      <c r="J27" s="9">
        <v>11</v>
      </c>
      <c r="K27" s="14">
        <v>0.31751465899999998</v>
      </c>
    </row>
    <row r="28" spans="1:11" x14ac:dyDescent="0.2">
      <c r="A28" s="4" t="s">
        <v>226</v>
      </c>
      <c r="B28" s="5" t="s">
        <v>227</v>
      </c>
      <c r="C28" s="16">
        <v>873876002290</v>
      </c>
      <c r="D28" s="17">
        <v>5</v>
      </c>
      <c r="E28" s="6">
        <v>5</v>
      </c>
      <c r="F28" s="6">
        <v>6</v>
      </c>
      <c r="G28" s="18">
        <v>1</v>
      </c>
      <c r="H28" s="28">
        <v>12.7</v>
      </c>
      <c r="I28" s="29">
        <v>12.7</v>
      </c>
      <c r="J28" s="29">
        <v>15.24</v>
      </c>
      <c r="K28" s="14">
        <v>0.45</v>
      </c>
    </row>
    <row r="29" spans="1:11" x14ac:dyDescent="0.2">
      <c r="A29" s="4" t="s">
        <v>7</v>
      </c>
      <c r="B29" s="5" t="s">
        <v>150</v>
      </c>
      <c r="C29" s="15" t="s">
        <v>40</v>
      </c>
      <c r="D29" s="17">
        <v>6</v>
      </c>
      <c r="E29" s="6">
        <v>4</v>
      </c>
      <c r="F29" s="6">
        <v>4</v>
      </c>
      <c r="G29" s="18">
        <v>0.9</v>
      </c>
      <c r="H29" s="13">
        <v>16</v>
      </c>
      <c r="I29" s="9">
        <v>11</v>
      </c>
      <c r="J29" s="9">
        <v>11</v>
      </c>
      <c r="K29" s="14">
        <v>0.40823313300000003</v>
      </c>
    </row>
    <row r="30" spans="1:11" x14ac:dyDescent="0.2">
      <c r="A30" s="4" t="s">
        <v>8</v>
      </c>
      <c r="B30" s="5" t="s">
        <v>151</v>
      </c>
      <c r="C30" s="15" t="s">
        <v>41</v>
      </c>
      <c r="D30" s="17">
        <v>6</v>
      </c>
      <c r="E30" s="6">
        <v>4</v>
      </c>
      <c r="F30" s="6">
        <v>4</v>
      </c>
      <c r="G30" s="18">
        <v>1.05</v>
      </c>
      <c r="H30" s="13">
        <v>16</v>
      </c>
      <c r="I30" s="9">
        <v>11</v>
      </c>
      <c r="J30" s="9">
        <v>11</v>
      </c>
      <c r="K30" s="14">
        <v>0.47627198850000002</v>
      </c>
    </row>
    <row r="31" spans="1:11" x14ac:dyDescent="0.2">
      <c r="A31" s="4" t="s">
        <v>9</v>
      </c>
      <c r="B31" s="5" t="s">
        <v>152</v>
      </c>
      <c r="C31" s="15" t="s">
        <v>42</v>
      </c>
      <c r="D31" s="17">
        <v>6</v>
      </c>
      <c r="E31" s="6">
        <v>4</v>
      </c>
      <c r="F31" s="6">
        <v>5</v>
      </c>
      <c r="G31" s="18">
        <v>1.1499999999999999</v>
      </c>
      <c r="H31" s="13">
        <v>16</v>
      </c>
      <c r="I31" s="9">
        <v>11</v>
      </c>
      <c r="J31" s="9">
        <v>13</v>
      </c>
      <c r="K31" s="14">
        <v>0.52163122549999996</v>
      </c>
    </row>
    <row r="32" spans="1:11" x14ac:dyDescent="0.2">
      <c r="A32" s="4" t="s">
        <v>16</v>
      </c>
      <c r="B32" s="5" t="s">
        <v>153</v>
      </c>
      <c r="C32" s="15" t="s">
        <v>43</v>
      </c>
      <c r="D32" s="17">
        <v>8</v>
      </c>
      <c r="E32" s="6">
        <v>8</v>
      </c>
      <c r="F32" s="6">
        <v>4</v>
      </c>
      <c r="G32" s="18">
        <v>2.5</v>
      </c>
      <c r="H32" s="13">
        <v>21</v>
      </c>
      <c r="I32" s="9">
        <v>21</v>
      </c>
      <c r="J32" s="9">
        <v>11</v>
      </c>
      <c r="K32" s="14">
        <v>1.1339809250000001</v>
      </c>
    </row>
    <row r="33" spans="1:11" x14ac:dyDescent="0.2">
      <c r="A33" s="4" t="s">
        <v>44</v>
      </c>
      <c r="B33" s="5" t="s">
        <v>154</v>
      </c>
      <c r="C33" s="15" t="s">
        <v>45</v>
      </c>
      <c r="D33" s="17">
        <v>6</v>
      </c>
      <c r="E33" s="6">
        <v>4</v>
      </c>
      <c r="F33" s="6">
        <v>4</v>
      </c>
      <c r="G33" s="18">
        <v>1.3</v>
      </c>
      <c r="H33" s="13">
        <v>16</v>
      </c>
      <c r="I33" s="9">
        <v>11</v>
      </c>
      <c r="J33" s="9">
        <v>11</v>
      </c>
      <c r="K33" s="14">
        <v>0.58967008100000007</v>
      </c>
    </row>
    <row r="34" spans="1:11" x14ac:dyDescent="0.2">
      <c r="A34" s="4" t="s">
        <v>48</v>
      </c>
      <c r="B34" s="5" t="s">
        <v>155</v>
      </c>
      <c r="C34" s="15" t="s">
        <v>49</v>
      </c>
      <c r="D34" s="17">
        <v>6</v>
      </c>
      <c r="E34" s="6">
        <v>4</v>
      </c>
      <c r="F34" s="6">
        <v>4</v>
      </c>
      <c r="G34" s="18">
        <v>1.8</v>
      </c>
      <c r="H34" s="13">
        <v>16</v>
      </c>
      <c r="I34" s="9">
        <v>11</v>
      </c>
      <c r="J34" s="9">
        <v>11</v>
      </c>
      <c r="K34" s="14">
        <v>0.81646626600000005</v>
      </c>
    </row>
    <row r="35" spans="1:11" x14ac:dyDescent="0.2">
      <c r="A35" s="4" t="s">
        <v>306</v>
      </c>
      <c r="B35" s="5" t="s">
        <v>154</v>
      </c>
      <c r="C35" s="20">
        <v>873876002801</v>
      </c>
      <c r="D35" s="17">
        <v>6</v>
      </c>
      <c r="E35" s="6">
        <v>4</v>
      </c>
      <c r="F35" s="6">
        <v>4</v>
      </c>
      <c r="G35" s="18">
        <v>1.3</v>
      </c>
      <c r="H35" s="13">
        <v>16</v>
      </c>
      <c r="I35" s="9">
        <v>11</v>
      </c>
      <c r="J35" s="9">
        <v>11</v>
      </c>
      <c r="K35" s="14">
        <v>0.6</v>
      </c>
    </row>
    <row r="36" spans="1:11" x14ac:dyDescent="0.2">
      <c r="A36" s="4" t="s">
        <v>305</v>
      </c>
      <c r="B36" s="5" t="s">
        <v>155</v>
      </c>
      <c r="C36" s="16">
        <v>873876002818</v>
      </c>
      <c r="D36" s="17">
        <v>6</v>
      </c>
      <c r="E36" s="6">
        <v>4</v>
      </c>
      <c r="F36" s="6">
        <v>4</v>
      </c>
      <c r="G36" s="18">
        <v>1.8</v>
      </c>
      <c r="H36" s="13">
        <v>16</v>
      </c>
      <c r="I36" s="9">
        <v>11</v>
      </c>
      <c r="J36" s="9">
        <v>11</v>
      </c>
      <c r="K36" s="14">
        <v>0.82</v>
      </c>
    </row>
    <row r="37" spans="1:11" x14ac:dyDescent="0.2">
      <c r="A37" s="4" t="s">
        <v>198</v>
      </c>
      <c r="B37" s="5" t="s">
        <v>156</v>
      </c>
      <c r="C37" s="16">
        <v>873876002108</v>
      </c>
      <c r="D37" s="17">
        <v>23.5</v>
      </c>
      <c r="E37" s="6">
        <v>7.5</v>
      </c>
      <c r="F37" s="6">
        <v>6.5</v>
      </c>
      <c r="G37" s="18">
        <v>9.6</v>
      </c>
      <c r="H37" s="13">
        <v>60</v>
      </c>
      <c r="I37" s="9">
        <v>20</v>
      </c>
      <c r="J37" s="9">
        <v>17</v>
      </c>
      <c r="K37" s="14">
        <v>4.3544867519999997</v>
      </c>
    </row>
    <row r="38" spans="1:11" x14ac:dyDescent="0.2">
      <c r="A38" s="4" t="s">
        <v>338</v>
      </c>
      <c r="B38" s="5" t="s">
        <v>339</v>
      </c>
      <c r="C38" s="16">
        <v>873876002832</v>
      </c>
      <c r="D38" s="17">
        <v>23.5</v>
      </c>
      <c r="E38" s="6">
        <v>7.5</v>
      </c>
      <c r="F38" s="6">
        <v>6.5</v>
      </c>
      <c r="G38" s="18">
        <v>9.6</v>
      </c>
      <c r="H38" s="13">
        <v>60</v>
      </c>
      <c r="I38" s="9">
        <v>20</v>
      </c>
      <c r="J38" s="9">
        <v>17</v>
      </c>
      <c r="K38" s="14">
        <v>4.3544867519999997</v>
      </c>
    </row>
    <row r="39" spans="1:11" x14ac:dyDescent="0.2">
      <c r="A39" s="4" t="s">
        <v>206</v>
      </c>
      <c r="B39" s="5" t="s">
        <v>224</v>
      </c>
      <c r="C39" s="16">
        <v>873876002153</v>
      </c>
      <c r="D39" s="17">
        <v>10</v>
      </c>
      <c r="E39" s="6">
        <v>8</v>
      </c>
      <c r="F39" s="6">
        <v>6</v>
      </c>
      <c r="G39" s="18">
        <v>1.3</v>
      </c>
      <c r="H39" s="13">
        <v>25</v>
      </c>
      <c r="I39" s="9">
        <v>20</v>
      </c>
      <c r="J39" s="9">
        <v>15</v>
      </c>
      <c r="K39" s="14">
        <v>0.6</v>
      </c>
    </row>
    <row r="40" spans="1:11" x14ac:dyDescent="0.2">
      <c r="A40" s="4" t="s">
        <v>207</v>
      </c>
      <c r="B40" s="5" t="s">
        <v>225</v>
      </c>
      <c r="C40" s="20">
        <v>873876002160</v>
      </c>
      <c r="D40" s="17">
        <v>10</v>
      </c>
      <c r="E40" s="6">
        <v>8</v>
      </c>
      <c r="F40" s="6">
        <v>6</v>
      </c>
      <c r="G40" s="18">
        <v>1.3</v>
      </c>
      <c r="H40" s="13">
        <v>25</v>
      </c>
      <c r="I40" s="9">
        <v>20</v>
      </c>
      <c r="J40" s="9">
        <v>15</v>
      </c>
      <c r="K40" s="14">
        <v>0.6</v>
      </c>
    </row>
    <row r="41" spans="1:11" x14ac:dyDescent="0.2">
      <c r="A41" s="4" t="s">
        <v>23</v>
      </c>
      <c r="B41" s="5" t="s">
        <v>157</v>
      </c>
      <c r="C41" s="16" t="s">
        <v>50</v>
      </c>
      <c r="D41" s="17">
        <v>37</v>
      </c>
      <c r="E41" s="6">
        <v>5.75</v>
      </c>
      <c r="F41" s="6">
        <v>3</v>
      </c>
      <c r="G41" s="18">
        <v>2.2999999999999998</v>
      </c>
      <c r="H41" s="13">
        <v>94</v>
      </c>
      <c r="I41" s="9">
        <v>15</v>
      </c>
      <c r="J41" s="9">
        <v>8</v>
      </c>
      <c r="K41" s="14">
        <v>1.0432624509999999</v>
      </c>
    </row>
    <row r="42" spans="1:11" x14ac:dyDescent="0.2">
      <c r="A42" s="4" t="s">
        <v>24</v>
      </c>
      <c r="B42" s="5" t="s">
        <v>158</v>
      </c>
      <c r="C42" s="16" t="s">
        <v>51</v>
      </c>
      <c r="D42" s="17">
        <v>44.5</v>
      </c>
      <c r="E42" s="6">
        <v>5.75</v>
      </c>
      <c r="F42" s="6">
        <v>3</v>
      </c>
      <c r="G42" s="18">
        <v>2.5</v>
      </c>
      <c r="H42" s="13">
        <v>114</v>
      </c>
      <c r="I42" s="9">
        <v>15</v>
      </c>
      <c r="J42" s="9">
        <v>8</v>
      </c>
      <c r="K42" s="14">
        <v>1.1339809250000001</v>
      </c>
    </row>
    <row r="43" spans="1:11" x14ac:dyDescent="0.2">
      <c r="A43" s="4" t="s">
        <v>25</v>
      </c>
      <c r="B43" s="5" t="s">
        <v>159</v>
      </c>
      <c r="C43" s="16" t="s">
        <v>52</v>
      </c>
      <c r="D43" s="17">
        <v>56</v>
      </c>
      <c r="E43" s="6">
        <v>5.75</v>
      </c>
      <c r="F43" s="6">
        <v>3</v>
      </c>
      <c r="G43" s="18">
        <v>2.9</v>
      </c>
      <c r="H43" s="13">
        <v>143</v>
      </c>
      <c r="I43" s="9">
        <v>15</v>
      </c>
      <c r="J43" s="9">
        <v>8</v>
      </c>
      <c r="K43" s="14">
        <v>1.3154178730000001</v>
      </c>
    </row>
    <row r="44" spans="1:11" x14ac:dyDescent="0.2">
      <c r="A44" s="4" t="s">
        <v>26</v>
      </c>
      <c r="B44" s="5" t="s">
        <v>160</v>
      </c>
      <c r="C44" s="16" t="s">
        <v>53</v>
      </c>
      <c r="D44" s="17">
        <v>74</v>
      </c>
      <c r="E44" s="6">
        <v>5.75</v>
      </c>
      <c r="F44" s="6">
        <v>3</v>
      </c>
      <c r="G44" s="18">
        <v>3.4</v>
      </c>
      <c r="H44" s="13">
        <v>188</v>
      </c>
      <c r="I44" s="9">
        <v>15</v>
      </c>
      <c r="J44" s="9">
        <v>8</v>
      </c>
      <c r="K44" s="14">
        <v>1.5422140580000001</v>
      </c>
    </row>
    <row r="45" spans="1:11" x14ac:dyDescent="0.2">
      <c r="A45" s="4" t="s">
        <v>27</v>
      </c>
      <c r="B45" s="5" t="s">
        <v>161</v>
      </c>
      <c r="C45" s="16" t="s">
        <v>54</v>
      </c>
      <c r="D45" s="17">
        <v>37</v>
      </c>
      <c r="E45" s="6">
        <v>5.5</v>
      </c>
      <c r="F45" s="6">
        <v>3</v>
      </c>
      <c r="G45" s="18">
        <v>2.2000000000000002</v>
      </c>
      <c r="H45" s="13">
        <v>94</v>
      </c>
      <c r="I45" s="9">
        <v>14</v>
      </c>
      <c r="J45" s="9">
        <v>8</v>
      </c>
      <c r="K45" s="14">
        <v>0.99790321400000015</v>
      </c>
    </row>
    <row r="46" spans="1:11" x14ac:dyDescent="0.2">
      <c r="A46" s="4" t="s">
        <v>28</v>
      </c>
      <c r="B46" s="5" t="s">
        <v>162</v>
      </c>
      <c r="C46" s="16" t="s">
        <v>55</v>
      </c>
      <c r="D46" s="17">
        <v>44.5</v>
      </c>
      <c r="E46" s="6">
        <v>5.5</v>
      </c>
      <c r="F46" s="6">
        <v>3</v>
      </c>
      <c r="G46" s="18">
        <v>2.5</v>
      </c>
      <c r="H46" s="13">
        <v>114</v>
      </c>
      <c r="I46" s="9">
        <v>14</v>
      </c>
      <c r="J46" s="9">
        <v>8</v>
      </c>
      <c r="K46" s="14">
        <v>1.1339809250000001</v>
      </c>
    </row>
    <row r="47" spans="1:11" x14ac:dyDescent="0.2">
      <c r="A47" s="4" t="s">
        <v>29</v>
      </c>
      <c r="B47" s="5" t="s">
        <v>163</v>
      </c>
      <c r="C47" s="16" t="s">
        <v>56</v>
      </c>
      <c r="D47" s="17">
        <v>56</v>
      </c>
      <c r="E47" s="6">
        <v>5.5</v>
      </c>
      <c r="F47" s="6">
        <v>3</v>
      </c>
      <c r="G47" s="18">
        <v>2.8</v>
      </c>
      <c r="H47" s="13">
        <v>143</v>
      </c>
      <c r="I47" s="9">
        <v>14</v>
      </c>
      <c r="J47" s="9">
        <v>8</v>
      </c>
      <c r="K47" s="14">
        <v>1.2700586359999999</v>
      </c>
    </row>
    <row r="48" spans="1:11" x14ac:dyDescent="0.2">
      <c r="A48" s="4" t="s">
        <v>30</v>
      </c>
      <c r="B48" s="5" t="s">
        <v>164</v>
      </c>
      <c r="C48" s="16" t="s">
        <v>57</v>
      </c>
      <c r="D48" s="17">
        <v>74</v>
      </c>
      <c r="E48" s="6">
        <v>5.5</v>
      </c>
      <c r="F48" s="6">
        <v>3</v>
      </c>
      <c r="G48" s="18">
        <v>3.4</v>
      </c>
      <c r="H48" s="13">
        <v>188</v>
      </c>
      <c r="I48" s="9">
        <v>14</v>
      </c>
      <c r="J48" s="9">
        <v>8</v>
      </c>
      <c r="K48" s="14">
        <v>1.5422140580000001</v>
      </c>
    </row>
    <row r="49" spans="1:11" x14ac:dyDescent="0.2">
      <c r="A49" s="4" t="s">
        <v>2</v>
      </c>
      <c r="B49" s="5" t="s">
        <v>203</v>
      </c>
      <c r="C49" s="16" t="s">
        <v>58</v>
      </c>
      <c r="D49" s="17">
        <v>17.5</v>
      </c>
      <c r="E49" s="6">
        <v>6</v>
      </c>
      <c r="F49" s="6">
        <v>3</v>
      </c>
      <c r="G49" s="18">
        <v>1.75</v>
      </c>
      <c r="H49" s="13">
        <v>45</v>
      </c>
      <c r="I49" s="9">
        <v>16</v>
      </c>
      <c r="J49" s="9">
        <v>8</v>
      </c>
      <c r="K49" s="14">
        <v>0.79378664750000005</v>
      </c>
    </row>
    <row r="50" spans="1:11" x14ac:dyDescent="0.2">
      <c r="A50" s="4" t="s">
        <v>31</v>
      </c>
      <c r="B50" s="5" t="s">
        <v>165</v>
      </c>
      <c r="C50" s="16" t="s">
        <v>59</v>
      </c>
      <c r="D50" s="17">
        <v>5.75</v>
      </c>
      <c r="E50" s="6">
        <v>3</v>
      </c>
      <c r="F50" s="6">
        <v>44</v>
      </c>
      <c r="G50" s="18">
        <v>3.7</v>
      </c>
      <c r="H50" s="13">
        <v>15</v>
      </c>
      <c r="I50" s="9">
        <v>8</v>
      </c>
      <c r="J50" s="9">
        <v>112</v>
      </c>
      <c r="K50" s="14">
        <v>1.6782917690000001</v>
      </c>
    </row>
    <row r="51" spans="1:11" x14ac:dyDescent="0.2">
      <c r="A51" s="4" t="s">
        <v>106</v>
      </c>
      <c r="B51" s="5" t="s">
        <v>166</v>
      </c>
      <c r="C51" s="16">
        <v>873876001835</v>
      </c>
      <c r="D51" s="17">
        <v>44</v>
      </c>
      <c r="E51" s="6">
        <v>2.5</v>
      </c>
      <c r="F51" s="6">
        <v>3</v>
      </c>
      <c r="G51" s="18">
        <v>2.2000000000000002</v>
      </c>
      <c r="H51" s="13">
        <v>112</v>
      </c>
      <c r="I51" s="9">
        <v>7</v>
      </c>
      <c r="J51" s="9">
        <v>8</v>
      </c>
      <c r="K51" s="14">
        <v>0.99790321400000015</v>
      </c>
    </row>
    <row r="52" spans="1:11" x14ac:dyDescent="0.2">
      <c r="A52" s="4" t="s">
        <v>105</v>
      </c>
      <c r="B52" s="5" t="s">
        <v>167</v>
      </c>
      <c r="C52" s="16">
        <v>873876001842</v>
      </c>
      <c r="D52" s="17">
        <v>38.5</v>
      </c>
      <c r="E52" s="6">
        <v>2.5</v>
      </c>
      <c r="F52" s="6">
        <v>1.75</v>
      </c>
      <c r="G52" s="18">
        <v>2.15</v>
      </c>
      <c r="H52" s="13">
        <v>98</v>
      </c>
      <c r="I52" s="9">
        <v>7</v>
      </c>
      <c r="J52" s="9">
        <v>5</v>
      </c>
      <c r="K52" s="14">
        <v>0.97522359550000004</v>
      </c>
    </row>
    <row r="53" spans="1:11" x14ac:dyDescent="0.2">
      <c r="A53" s="4" t="s">
        <v>107</v>
      </c>
      <c r="B53" s="5" t="s">
        <v>168</v>
      </c>
      <c r="C53" s="16">
        <v>873876001866</v>
      </c>
      <c r="D53" s="17">
        <v>38</v>
      </c>
      <c r="E53" s="6">
        <v>2.5</v>
      </c>
      <c r="F53" s="6">
        <v>1.75</v>
      </c>
      <c r="G53" s="18">
        <v>2</v>
      </c>
      <c r="H53" s="13">
        <v>97</v>
      </c>
      <c r="I53" s="9">
        <v>7</v>
      </c>
      <c r="J53" s="9">
        <v>5</v>
      </c>
      <c r="K53" s="14">
        <v>0.90718474000000004</v>
      </c>
    </row>
    <row r="54" spans="1:11" x14ac:dyDescent="0.2">
      <c r="A54" s="4" t="s">
        <v>108</v>
      </c>
      <c r="B54" s="5" t="s">
        <v>169</v>
      </c>
      <c r="C54" s="16">
        <v>873876001859</v>
      </c>
      <c r="D54" s="17">
        <v>37</v>
      </c>
      <c r="E54" s="6">
        <v>2.5</v>
      </c>
      <c r="F54" s="6">
        <v>1.75</v>
      </c>
      <c r="G54" s="18">
        <v>1.95</v>
      </c>
      <c r="H54" s="13">
        <v>94</v>
      </c>
      <c r="I54" s="9">
        <v>7</v>
      </c>
      <c r="J54" s="9">
        <v>5</v>
      </c>
      <c r="K54" s="14">
        <v>0.88450512150000005</v>
      </c>
    </row>
    <row r="55" spans="1:11" x14ac:dyDescent="0.2">
      <c r="A55" s="4" t="s">
        <v>46</v>
      </c>
      <c r="B55" s="5" t="s">
        <v>204</v>
      </c>
      <c r="C55" s="15" t="s">
        <v>60</v>
      </c>
      <c r="D55" s="17">
        <v>6</v>
      </c>
      <c r="E55" s="6">
        <v>4</v>
      </c>
      <c r="F55" s="6">
        <v>4</v>
      </c>
      <c r="G55" s="18">
        <v>0.75</v>
      </c>
      <c r="H55" s="13">
        <v>16</v>
      </c>
      <c r="I55" s="9">
        <v>11</v>
      </c>
      <c r="J55" s="9">
        <v>11</v>
      </c>
      <c r="K55" s="14">
        <v>0.34019427750000003</v>
      </c>
    </row>
    <row r="56" spans="1:11" x14ac:dyDescent="0.2">
      <c r="A56" s="4" t="s">
        <v>47</v>
      </c>
      <c r="B56" s="5" t="s">
        <v>170</v>
      </c>
      <c r="C56" s="15" t="s">
        <v>61</v>
      </c>
      <c r="D56" s="17">
        <v>37</v>
      </c>
      <c r="E56" s="6">
        <v>1</v>
      </c>
      <c r="F56" s="6">
        <v>1</v>
      </c>
      <c r="G56" s="18">
        <v>1.2</v>
      </c>
      <c r="H56" s="13">
        <v>94</v>
      </c>
      <c r="I56" s="9">
        <v>3</v>
      </c>
      <c r="J56" s="9">
        <v>3</v>
      </c>
      <c r="K56" s="14">
        <v>0.54431084399999996</v>
      </c>
    </row>
    <row r="57" spans="1:11" x14ac:dyDescent="0.2">
      <c r="A57" s="4" t="s">
        <v>13</v>
      </c>
      <c r="B57" s="5" t="s">
        <v>171</v>
      </c>
      <c r="C57" s="15" t="s">
        <v>62</v>
      </c>
      <c r="D57" s="17">
        <v>48.5</v>
      </c>
      <c r="E57" s="6">
        <v>1</v>
      </c>
      <c r="F57" s="6">
        <v>1</v>
      </c>
      <c r="G57" s="18">
        <v>1.2</v>
      </c>
      <c r="H57" s="13">
        <v>124</v>
      </c>
      <c r="I57" s="9">
        <v>3</v>
      </c>
      <c r="J57" s="9">
        <v>3</v>
      </c>
      <c r="K57" s="14">
        <v>0.54431084399999996</v>
      </c>
    </row>
    <row r="58" spans="1:11" x14ac:dyDescent="0.2">
      <c r="A58" s="4" t="s">
        <v>38</v>
      </c>
      <c r="B58" s="5" t="s">
        <v>172</v>
      </c>
      <c r="C58" s="15" t="s">
        <v>63</v>
      </c>
      <c r="D58" s="17">
        <v>45</v>
      </c>
      <c r="E58" s="6">
        <v>1</v>
      </c>
      <c r="F58" s="6">
        <v>1</v>
      </c>
      <c r="G58" s="18">
        <v>1.2</v>
      </c>
      <c r="H58" s="13">
        <v>115</v>
      </c>
      <c r="I58" s="9">
        <v>3</v>
      </c>
      <c r="J58" s="9">
        <v>3</v>
      </c>
      <c r="K58" s="14">
        <v>0.54431084399999996</v>
      </c>
    </row>
    <row r="59" spans="1:11" x14ac:dyDescent="0.2">
      <c r="A59" s="4" t="s">
        <v>17</v>
      </c>
      <c r="B59" s="5" t="s">
        <v>173</v>
      </c>
      <c r="C59" s="15" t="s">
        <v>64</v>
      </c>
      <c r="D59" s="17">
        <v>49</v>
      </c>
      <c r="E59" s="6">
        <v>1</v>
      </c>
      <c r="F59" s="6">
        <v>1</v>
      </c>
      <c r="G59" s="18">
        <v>1.2</v>
      </c>
      <c r="H59" s="13">
        <v>125</v>
      </c>
      <c r="I59" s="9">
        <v>3</v>
      </c>
      <c r="J59" s="9">
        <v>3</v>
      </c>
      <c r="K59" s="14">
        <v>0.54431084399999996</v>
      </c>
    </row>
    <row r="60" spans="1:11" x14ac:dyDescent="0.2">
      <c r="A60" s="4" t="s">
        <v>199</v>
      </c>
      <c r="B60" s="5" t="s">
        <v>201</v>
      </c>
      <c r="C60" s="16">
        <v>873876002085</v>
      </c>
      <c r="D60" s="17">
        <v>54</v>
      </c>
      <c r="E60" s="6">
        <v>21</v>
      </c>
      <c r="F60" s="6">
        <v>6</v>
      </c>
      <c r="G60" s="18">
        <v>19</v>
      </c>
      <c r="H60" s="13">
        <v>137</v>
      </c>
      <c r="I60" s="9">
        <v>53</v>
      </c>
      <c r="J60" s="9">
        <v>16</v>
      </c>
      <c r="K60" s="14">
        <v>8.6</v>
      </c>
    </row>
    <row r="61" spans="1:11" x14ac:dyDescent="0.2">
      <c r="A61" s="4" t="s">
        <v>200</v>
      </c>
      <c r="B61" s="5" t="s">
        <v>202</v>
      </c>
      <c r="C61" s="16">
        <v>873876002092</v>
      </c>
      <c r="D61" s="17">
        <v>54</v>
      </c>
      <c r="E61" s="6">
        <v>21</v>
      </c>
      <c r="F61" s="6">
        <v>6</v>
      </c>
      <c r="G61" s="18">
        <v>19</v>
      </c>
      <c r="H61" s="13">
        <v>137</v>
      </c>
      <c r="I61" s="9">
        <v>53</v>
      </c>
      <c r="J61" s="9">
        <v>16</v>
      </c>
      <c r="K61" s="14">
        <v>8.6</v>
      </c>
    </row>
    <row r="62" spans="1:11" x14ac:dyDescent="0.2">
      <c r="A62" s="4" t="s">
        <v>208</v>
      </c>
      <c r="B62" s="5" t="s">
        <v>209</v>
      </c>
      <c r="C62" s="21">
        <v>873876002207</v>
      </c>
      <c r="D62" s="17">
        <v>6.25</v>
      </c>
      <c r="E62" s="6">
        <v>4.25</v>
      </c>
      <c r="F62" s="6">
        <v>4.5</v>
      </c>
      <c r="G62" s="18">
        <v>0.5</v>
      </c>
      <c r="H62" s="13">
        <v>16</v>
      </c>
      <c r="I62" s="9">
        <v>11</v>
      </c>
      <c r="J62" s="9">
        <v>12</v>
      </c>
      <c r="K62" s="14">
        <v>0.02</v>
      </c>
    </row>
    <row r="63" spans="1:11" x14ac:dyDescent="0.2">
      <c r="A63" s="4" t="s">
        <v>210</v>
      </c>
      <c r="B63" s="5" t="s">
        <v>211</v>
      </c>
      <c r="C63" s="21">
        <v>873876002214</v>
      </c>
      <c r="D63" s="17">
        <v>6.25</v>
      </c>
      <c r="E63" s="6">
        <v>4.25</v>
      </c>
      <c r="F63" s="6">
        <v>4.5</v>
      </c>
      <c r="G63" s="18">
        <v>0.5</v>
      </c>
      <c r="H63" s="13">
        <v>16</v>
      </c>
      <c r="I63" s="9">
        <v>11</v>
      </c>
      <c r="J63" s="9">
        <v>12</v>
      </c>
      <c r="K63" s="14">
        <v>0.02</v>
      </c>
    </row>
    <row r="64" spans="1:11" x14ac:dyDescent="0.2">
      <c r="A64" s="4" t="s">
        <v>212</v>
      </c>
      <c r="B64" s="5" t="s">
        <v>213</v>
      </c>
      <c r="C64" s="21">
        <v>873876002221</v>
      </c>
      <c r="D64" s="17">
        <v>7.25</v>
      </c>
      <c r="E64" s="6">
        <v>4.25</v>
      </c>
      <c r="F64" s="6">
        <v>4.5</v>
      </c>
      <c r="G64" s="18">
        <v>0.5</v>
      </c>
      <c r="H64" s="13">
        <v>19</v>
      </c>
      <c r="I64" s="9">
        <v>11</v>
      </c>
      <c r="J64" s="9">
        <v>12</v>
      </c>
      <c r="K64" s="14">
        <v>0.02</v>
      </c>
    </row>
    <row r="65" spans="1:11" x14ac:dyDescent="0.2">
      <c r="A65" s="4" t="s">
        <v>214</v>
      </c>
      <c r="B65" s="5" t="s">
        <v>215</v>
      </c>
      <c r="C65" s="21">
        <v>873876002238</v>
      </c>
      <c r="D65" s="17">
        <v>7.25</v>
      </c>
      <c r="E65" s="6">
        <v>4.25</v>
      </c>
      <c r="F65" s="6">
        <v>4.5</v>
      </c>
      <c r="G65" s="18">
        <v>0.6</v>
      </c>
      <c r="H65" s="13">
        <v>19</v>
      </c>
      <c r="I65" s="9">
        <v>11</v>
      </c>
      <c r="J65" s="9">
        <v>12</v>
      </c>
      <c r="K65" s="14">
        <v>0.02</v>
      </c>
    </row>
    <row r="66" spans="1:11" x14ac:dyDescent="0.2">
      <c r="A66" s="4" t="s">
        <v>216</v>
      </c>
      <c r="B66" s="5" t="s">
        <v>217</v>
      </c>
      <c r="C66" s="21">
        <v>873876002245</v>
      </c>
      <c r="D66" s="17">
        <v>32.25</v>
      </c>
      <c r="E66" s="6">
        <v>4.25</v>
      </c>
      <c r="F66" s="6">
        <v>4.25</v>
      </c>
      <c r="G66" s="18">
        <v>2.4</v>
      </c>
      <c r="H66" s="13">
        <f>ROUND(D66*2.54,0)</f>
        <v>82</v>
      </c>
      <c r="I66" s="9">
        <f t="shared" ref="I66" si="3">ROUND(E66*2.54,0)</f>
        <v>11</v>
      </c>
      <c r="J66" s="9">
        <f t="shared" ref="J66" si="4">ROUND(F66*2.54,0)</f>
        <v>11</v>
      </c>
      <c r="K66" s="14">
        <f t="shared" ref="K66:K89" si="5">G66*0.45359237</f>
        <v>1.0886216879999999</v>
      </c>
    </row>
    <row r="67" spans="1:11" x14ac:dyDescent="0.2">
      <c r="A67" s="4" t="s">
        <v>218</v>
      </c>
      <c r="B67" s="5" t="s">
        <v>219</v>
      </c>
      <c r="C67" s="21">
        <v>873876002252</v>
      </c>
      <c r="D67" s="17">
        <v>48.25</v>
      </c>
      <c r="E67" s="6">
        <v>4.25</v>
      </c>
      <c r="F67" s="6">
        <v>4.25</v>
      </c>
      <c r="G67" s="18">
        <v>3.1</v>
      </c>
      <c r="H67" s="13">
        <v>124</v>
      </c>
      <c r="I67" s="9">
        <v>11</v>
      </c>
      <c r="J67" s="9">
        <v>11</v>
      </c>
      <c r="K67" s="14">
        <f t="shared" si="5"/>
        <v>1.4061363470000001</v>
      </c>
    </row>
    <row r="68" spans="1:11" x14ac:dyDescent="0.2">
      <c r="A68" s="4" t="s">
        <v>220</v>
      </c>
      <c r="B68" s="5" t="s">
        <v>221</v>
      </c>
      <c r="C68" s="21">
        <v>873876002269</v>
      </c>
      <c r="D68" s="17">
        <v>50.25</v>
      </c>
      <c r="E68" s="6">
        <v>5.25</v>
      </c>
      <c r="F68" s="6">
        <v>5.25</v>
      </c>
      <c r="G68" s="18">
        <v>3.6</v>
      </c>
      <c r="H68" s="13">
        <f t="shared" ref="H68:H73" si="6">ROUND(D68*2.54,0)</f>
        <v>128</v>
      </c>
      <c r="I68" s="9">
        <f t="shared" ref="I68:I73" si="7">ROUND(E68*2.54,0)</f>
        <v>13</v>
      </c>
      <c r="J68" s="9">
        <f t="shared" ref="J68:J73" si="8">ROUND(F68*2.54,0)</f>
        <v>13</v>
      </c>
      <c r="K68" s="14">
        <f t="shared" si="5"/>
        <v>1.6329325320000001</v>
      </c>
    </row>
    <row r="69" spans="1:11" x14ac:dyDescent="0.2">
      <c r="A69" s="4" t="s">
        <v>329</v>
      </c>
      <c r="B69" s="5" t="s">
        <v>342</v>
      </c>
      <c r="C69" s="21">
        <v>873876002740</v>
      </c>
      <c r="D69" s="17">
        <v>6</v>
      </c>
      <c r="E69" s="6">
        <v>4.25</v>
      </c>
      <c r="F69" s="6">
        <v>4.5</v>
      </c>
      <c r="G69" s="18">
        <v>0.6</v>
      </c>
      <c r="H69" s="13">
        <f t="shared" si="6"/>
        <v>15</v>
      </c>
      <c r="I69" s="9">
        <f t="shared" si="7"/>
        <v>11</v>
      </c>
      <c r="J69" s="9">
        <f t="shared" si="8"/>
        <v>11</v>
      </c>
      <c r="K69" s="14">
        <f t="shared" ref="K69:K72" si="9">G69*0.45359237</f>
        <v>0.27215542199999998</v>
      </c>
    </row>
    <row r="70" spans="1:11" x14ac:dyDescent="0.2">
      <c r="A70" s="4" t="s">
        <v>330</v>
      </c>
      <c r="B70" s="5" t="s">
        <v>343</v>
      </c>
      <c r="C70" s="21">
        <v>873876002757</v>
      </c>
      <c r="D70" s="17">
        <v>6</v>
      </c>
      <c r="E70" s="6">
        <v>4.25</v>
      </c>
      <c r="F70" s="6">
        <v>4.5</v>
      </c>
      <c r="G70" s="18">
        <v>0.7</v>
      </c>
      <c r="H70" s="13">
        <f t="shared" si="6"/>
        <v>15</v>
      </c>
      <c r="I70" s="9">
        <f t="shared" si="7"/>
        <v>11</v>
      </c>
      <c r="J70" s="9">
        <f t="shared" si="8"/>
        <v>11</v>
      </c>
      <c r="K70" s="14">
        <f t="shared" si="9"/>
        <v>0.31751465899999998</v>
      </c>
    </row>
    <row r="71" spans="1:11" x14ac:dyDescent="0.2">
      <c r="A71" s="4" t="s">
        <v>331</v>
      </c>
      <c r="B71" s="5" t="s">
        <v>344</v>
      </c>
      <c r="C71" s="21">
        <v>873876002764</v>
      </c>
      <c r="D71" s="17">
        <v>6</v>
      </c>
      <c r="E71" s="6">
        <v>4.25</v>
      </c>
      <c r="F71" s="6">
        <v>4.5</v>
      </c>
      <c r="G71" s="18">
        <v>0.75</v>
      </c>
      <c r="H71" s="13">
        <f t="shared" si="6"/>
        <v>15</v>
      </c>
      <c r="I71" s="9">
        <f t="shared" si="7"/>
        <v>11</v>
      </c>
      <c r="J71" s="9">
        <f t="shared" si="8"/>
        <v>11</v>
      </c>
      <c r="K71" s="14">
        <f t="shared" si="9"/>
        <v>0.34019427750000003</v>
      </c>
    </row>
    <row r="72" spans="1:11" x14ac:dyDescent="0.2">
      <c r="A72" s="4" t="s">
        <v>332</v>
      </c>
      <c r="B72" s="5" t="s">
        <v>345</v>
      </c>
      <c r="C72" s="21">
        <v>873876002771</v>
      </c>
      <c r="D72" s="17">
        <v>6</v>
      </c>
      <c r="E72" s="6">
        <v>4.25</v>
      </c>
      <c r="F72" s="6">
        <v>4.5</v>
      </c>
      <c r="G72" s="18">
        <v>0.8</v>
      </c>
      <c r="H72" s="13">
        <f t="shared" si="6"/>
        <v>15</v>
      </c>
      <c r="I72" s="9">
        <f t="shared" si="7"/>
        <v>11</v>
      </c>
      <c r="J72" s="9">
        <f t="shared" si="8"/>
        <v>11</v>
      </c>
      <c r="K72" s="14">
        <f t="shared" si="9"/>
        <v>0.36287389600000003</v>
      </c>
    </row>
    <row r="73" spans="1:11" x14ac:dyDescent="0.2">
      <c r="A73" s="4" t="s">
        <v>286</v>
      </c>
      <c r="B73" s="5" t="s">
        <v>287</v>
      </c>
      <c r="C73" s="16">
        <v>873876002535</v>
      </c>
      <c r="D73" s="17">
        <v>9</v>
      </c>
      <c r="E73" s="6">
        <v>6.5</v>
      </c>
      <c r="F73" s="6">
        <v>8.5</v>
      </c>
      <c r="G73" s="18">
        <v>1.95</v>
      </c>
      <c r="H73" s="13">
        <f t="shared" si="6"/>
        <v>23</v>
      </c>
      <c r="I73" s="9">
        <f t="shared" si="7"/>
        <v>17</v>
      </c>
      <c r="J73" s="9">
        <f t="shared" si="8"/>
        <v>22</v>
      </c>
      <c r="K73" s="14">
        <f t="shared" si="5"/>
        <v>0.88450512150000005</v>
      </c>
    </row>
    <row r="74" spans="1:11" x14ac:dyDescent="0.2">
      <c r="A74" s="4" t="s">
        <v>294</v>
      </c>
      <c r="B74" s="5" t="s">
        <v>320</v>
      </c>
      <c r="C74" s="16">
        <v>873876002726</v>
      </c>
      <c r="D74" s="17">
        <v>45.5</v>
      </c>
      <c r="E74" s="6">
        <v>2.25</v>
      </c>
      <c r="F74" s="6">
        <v>2.25</v>
      </c>
      <c r="G74" s="18">
        <v>3.3</v>
      </c>
      <c r="H74" s="28">
        <f t="shared" ref="H74:H75" si="10">D74*2.54</f>
        <v>115.57000000000001</v>
      </c>
      <c r="I74" s="29">
        <f t="shared" ref="I74:I75" si="11">E74*2.54</f>
        <v>5.7149999999999999</v>
      </c>
      <c r="J74" s="29">
        <f t="shared" ref="J74:J75" si="12">F74*2.54</f>
        <v>5.7149999999999999</v>
      </c>
      <c r="K74" s="14">
        <f t="shared" si="5"/>
        <v>1.4968548209999999</v>
      </c>
    </row>
    <row r="75" spans="1:11" x14ac:dyDescent="0.2">
      <c r="A75" s="4" t="s">
        <v>295</v>
      </c>
      <c r="B75" s="5" t="s">
        <v>321</v>
      </c>
      <c r="C75" s="16">
        <v>873876002733</v>
      </c>
      <c r="D75" s="17">
        <v>45.5</v>
      </c>
      <c r="E75" s="6">
        <v>2.25</v>
      </c>
      <c r="F75" s="6">
        <v>2.25</v>
      </c>
      <c r="G75" s="18">
        <v>3.3</v>
      </c>
      <c r="H75" s="28">
        <f t="shared" si="10"/>
        <v>115.57000000000001</v>
      </c>
      <c r="I75" s="29">
        <f t="shared" si="11"/>
        <v>5.7149999999999999</v>
      </c>
      <c r="J75" s="29">
        <f t="shared" si="12"/>
        <v>5.7149999999999999</v>
      </c>
      <c r="K75" s="14">
        <f t="shared" si="5"/>
        <v>1.4968548209999999</v>
      </c>
    </row>
    <row r="76" spans="1:11" x14ac:dyDescent="0.2">
      <c r="A76" s="4" t="s">
        <v>302</v>
      </c>
      <c r="B76" s="5" t="s">
        <v>317</v>
      </c>
      <c r="C76" s="16">
        <v>873876002696</v>
      </c>
      <c r="D76" s="17">
        <v>6</v>
      </c>
      <c r="E76" s="6">
        <v>4.25</v>
      </c>
      <c r="F76" s="6">
        <v>4.5</v>
      </c>
      <c r="G76" s="18">
        <v>0.7</v>
      </c>
      <c r="H76" s="13">
        <f t="shared" ref="H76:H89" si="13">ROUND(D76*2.54,0)</f>
        <v>15</v>
      </c>
      <c r="I76" s="9">
        <f t="shared" ref="I76:I89" si="14">ROUND(E76*2.54,0)</f>
        <v>11</v>
      </c>
      <c r="J76" s="9">
        <f t="shared" ref="J76:J89" si="15">ROUND(F76*2.54,0)</f>
        <v>11</v>
      </c>
      <c r="K76" s="14">
        <f t="shared" si="5"/>
        <v>0.31751465899999998</v>
      </c>
    </row>
    <row r="77" spans="1:11" x14ac:dyDescent="0.2">
      <c r="A77" s="4" t="s">
        <v>303</v>
      </c>
      <c r="B77" s="5" t="s">
        <v>318</v>
      </c>
      <c r="C77" s="16">
        <v>873876002719</v>
      </c>
      <c r="D77" s="17">
        <v>6</v>
      </c>
      <c r="E77" s="6">
        <v>4.25</v>
      </c>
      <c r="F77" s="6">
        <v>4.5</v>
      </c>
      <c r="G77" s="18">
        <v>0.7</v>
      </c>
      <c r="H77" s="13">
        <f t="shared" si="13"/>
        <v>15</v>
      </c>
      <c r="I77" s="9">
        <f t="shared" si="14"/>
        <v>11</v>
      </c>
      <c r="J77" s="9">
        <f t="shared" si="15"/>
        <v>11</v>
      </c>
      <c r="K77" s="14">
        <f t="shared" si="5"/>
        <v>0.31751465899999998</v>
      </c>
    </row>
    <row r="78" spans="1:11" x14ac:dyDescent="0.2">
      <c r="A78" s="4" t="s">
        <v>304</v>
      </c>
      <c r="B78" s="5" t="s">
        <v>319</v>
      </c>
      <c r="C78" s="16">
        <v>873876002702</v>
      </c>
      <c r="D78" s="17">
        <v>6</v>
      </c>
      <c r="E78" s="6">
        <v>4.25</v>
      </c>
      <c r="F78" s="6">
        <v>4.5</v>
      </c>
      <c r="G78" s="18">
        <v>0.7</v>
      </c>
      <c r="H78" s="13">
        <f t="shared" si="13"/>
        <v>15</v>
      </c>
      <c r="I78" s="9">
        <f t="shared" si="14"/>
        <v>11</v>
      </c>
      <c r="J78" s="9">
        <f t="shared" si="15"/>
        <v>11</v>
      </c>
      <c r="K78" s="14">
        <f t="shared" si="5"/>
        <v>0.31751465899999998</v>
      </c>
    </row>
    <row r="79" spans="1:11" x14ac:dyDescent="0.2">
      <c r="A79" s="4" t="s">
        <v>340</v>
      </c>
      <c r="B79" s="5" t="s">
        <v>341</v>
      </c>
      <c r="C79" s="16">
        <v>873876002849</v>
      </c>
      <c r="D79" s="17"/>
      <c r="E79" s="6"/>
      <c r="F79" s="6"/>
      <c r="G79" s="18"/>
      <c r="H79" s="28">
        <f>D79*2.54</f>
        <v>0</v>
      </c>
      <c r="I79" s="29">
        <f>E79*2.54</f>
        <v>0</v>
      </c>
      <c r="J79" s="29">
        <f>F79*2.54</f>
        <v>0</v>
      </c>
      <c r="K79" s="14">
        <f>G79*0.45359</f>
        <v>0</v>
      </c>
    </row>
    <row r="80" spans="1:11" x14ac:dyDescent="0.2">
      <c r="A80" s="31" t="s">
        <v>346</v>
      </c>
      <c r="B80" s="5" t="s">
        <v>362</v>
      </c>
      <c r="C80" s="16">
        <v>873876002443</v>
      </c>
      <c r="D80" s="17">
        <v>11.75</v>
      </c>
      <c r="E80" s="6">
        <v>6.38</v>
      </c>
      <c r="F80" s="6">
        <v>2.88</v>
      </c>
      <c r="G80" s="18">
        <v>0.5</v>
      </c>
      <c r="H80" s="28">
        <f t="shared" ref="H80:H88" si="16">D80*2.54</f>
        <v>29.844999999999999</v>
      </c>
      <c r="I80" s="29">
        <f t="shared" ref="I80:I88" si="17">E80*2.54</f>
        <v>16.205200000000001</v>
      </c>
      <c r="J80" s="29">
        <f t="shared" ref="J80:J88" si="18">F80*2.54</f>
        <v>7.3151999999999999</v>
      </c>
      <c r="K80" s="14">
        <f t="shared" ref="K80:K88" si="19">G80*0.45359</f>
        <v>0.226795</v>
      </c>
    </row>
    <row r="81" spans="1:11" x14ac:dyDescent="0.2">
      <c r="A81" s="31" t="s">
        <v>347</v>
      </c>
      <c r="B81" s="5" t="s">
        <v>363</v>
      </c>
      <c r="C81" s="16">
        <v>873876002474</v>
      </c>
      <c r="D81" s="17">
        <v>12</v>
      </c>
      <c r="E81" s="6">
        <v>6.38</v>
      </c>
      <c r="F81" s="6">
        <v>2.88</v>
      </c>
      <c r="G81" s="18">
        <v>0.65</v>
      </c>
      <c r="H81" s="28">
        <f t="shared" si="16"/>
        <v>30.48</v>
      </c>
      <c r="I81" s="29">
        <f t="shared" si="17"/>
        <v>16.205200000000001</v>
      </c>
      <c r="J81" s="29">
        <f t="shared" si="18"/>
        <v>7.3151999999999999</v>
      </c>
      <c r="K81" s="14">
        <f t="shared" si="19"/>
        <v>0.29483350000000003</v>
      </c>
    </row>
    <row r="82" spans="1:11" x14ac:dyDescent="0.2">
      <c r="A82" s="31" t="s">
        <v>348</v>
      </c>
      <c r="B82" s="5" t="s">
        <v>355</v>
      </c>
      <c r="C82" s="16">
        <v>873876002450</v>
      </c>
      <c r="D82" s="17">
        <v>15.75</v>
      </c>
      <c r="E82" s="6">
        <v>6.38</v>
      </c>
      <c r="F82" s="6">
        <v>2.88</v>
      </c>
      <c r="G82" s="18">
        <v>0.95</v>
      </c>
      <c r="H82" s="28">
        <f t="shared" si="16"/>
        <v>40.005000000000003</v>
      </c>
      <c r="I82" s="29">
        <f t="shared" si="17"/>
        <v>16.205200000000001</v>
      </c>
      <c r="J82" s="29">
        <f t="shared" si="18"/>
        <v>7.3151999999999999</v>
      </c>
      <c r="K82" s="14">
        <f t="shared" si="19"/>
        <v>0.43091049999999997</v>
      </c>
    </row>
    <row r="83" spans="1:11" x14ac:dyDescent="0.2">
      <c r="A83" s="32" t="s">
        <v>349</v>
      </c>
      <c r="B83" s="5" t="s">
        <v>356</v>
      </c>
      <c r="C83" s="16">
        <v>873876002481</v>
      </c>
      <c r="D83" s="17">
        <v>19.75</v>
      </c>
      <c r="E83" s="6">
        <v>6.38</v>
      </c>
      <c r="F83" s="6">
        <v>2.88</v>
      </c>
      <c r="G83" s="18">
        <v>1.2</v>
      </c>
      <c r="H83" s="28">
        <f t="shared" si="16"/>
        <v>50.164999999999999</v>
      </c>
      <c r="I83" s="29">
        <f t="shared" si="17"/>
        <v>16.205200000000001</v>
      </c>
      <c r="J83" s="29">
        <f t="shared" si="18"/>
        <v>7.3151999999999999</v>
      </c>
      <c r="K83" s="14">
        <f t="shared" si="19"/>
        <v>0.54430800000000001</v>
      </c>
    </row>
    <row r="84" spans="1:11" x14ac:dyDescent="0.2">
      <c r="A84" s="32" t="s">
        <v>350</v>
      </c>
      <c r="B84" s="5" t="s">
        <v>357</v>
      </c>
      <c r="C84" s="16">
        <v>873876002498</v>
      </c>
      <c r="D84" s="17">
        <v>26.15</v>
      </c>
      <c r="E84" s="6">
        <v>6.63</v>
      </c>
      <c r="F84" s="6">
        <v>3.13</v>
      </c>
      <c r="G84" s="18">
        <v>1.65</v>
      </c>
      <c r="H84" s="28">
        <f t="shared" si="16"/>
        <v>66.420999999999992</v>
      </c>
      <c r="I84" s="29">
        <f t="shared" si="17"/>
        <v>16.840199999999999</v>
      </c>
      <c r="J84" s="29">
        <f t="shared" si="18"/>
        <v>7.9501999999999997</v>
      </c>
      <c r="K84" s="14">
        <f t="shared" si="19"/>
        <v>0.74842349999999991</v>
      </c>
    </row>
    <row r="85" spans="1:11" x14ac:dyDescent="0.2">
      <c r="A85" s="32" t="s">
        <v>351</v>
      </c>
      <c r="B85" s="5" t="s">
        <v>358</v>
      </c>
      <c r="C85" s="16">
        <v>873876002504</v>
      </c>
      <c r="D85" s="17">
        <v>34</v>
      </c>
      <c r="E85" s="6">
        <v>6.63</v>
      </c>
      <c r="F85" s="6">
        <v>3.13</v>
      </c>
      <c r="G85" s="18">
        <v>2.25</v>
      </c>
      <c r="H85" s="28">
        <f t="shared" si="16"/>
        <v>86.36</v>
      </c>
      <c r="I85" s="29">
        <f t="shared" si="17"/>
        <v>16.840199999999999</v>
      </c>
      <c r="J85" s="29">
        <f t="shared" si="18"/>
        <v>7.9501999999999997</v>
      </c>
      <c r="K85" s="14">
        <f t="shared" si="19"/>
        <v>1.0205774999999999</v>
      </c>
    </row>
    <row r="86" spans="1:11" x14ac:dyDescent="0.2">
      <c r="A86" s="32" t="s">
        <v>352</v>
      </c>
      <c r="B86" s="5" t="s">
        <v>361</v>
      </c>
      <c r="C86" s="16">
        <v>873876002511</v>
      </c>
      <c r="D86" s="17">
        <v>42</v>
      </c>
      <c r="E86" s="6">
        <v>6.63</v>
      </c>
      <c r="F86" s="6">
        <v>3.13</v>
      </c>
      <c r="G86" s="18">
        <v>2.75</v>
      </c>
      <c r="H86" s="28">
        <f t="shared" si="16"/>
        <v>106.68</v>
      </c>
      <c r="I86" s="29">
        <f t="shared" si="17"/>
        <v>16.840199999999999</v>
      </c>
      <c r="J86" s="29">
        <f t="shared" si="18"/>
        <v>7.9501999999999997</v>
      </c>
      <c r="K86" s="14">
        <f t="shared" si="19"/>
        <v>1.2473725</v>
      </c>
    </row>
    <row r="87" spans="1:11" x14ac:dyDescent="0.2">
      <c r="A87" s="32" t="s">
        <v>353</v>
      </c>
      <c r="B87" s="5" t="s">
        <v>359</v>
      </c>
      <c r="C87" s="16">
        <v>873876002528</v>
      </c>
      <c r="D87" s="17">
        <v>50</v>
      </c>
      <c r="E87" s="6">
        <v>6.63</v>
      </c>
      <c r="F87" s="6">
        <v>3.13</v>
      </c>
      <c r="G87" s="18">
        <v>3.5</v>
      </c>
      <c r="H87" s="28">
        <f t="shared" si="16"/>
        <v>127</v>
      </c>
      <c r="I87" s="29">
        <f t="shared" si="17"/>
        <v>16.840199999999999</v>
      </c>
      <c r="J87" s="29">
        <f t="shared" si="18"/>
        <v>7.9501999999999997</v>
      </c>
      <c r="K87" s="14">
        <f t="shared" si="19"/>
        <v>1.5875649999999999</v>
      </c>
    </row>
    <row r="88" spans="1:11" x14ac:dyDescent="0.2">
      <c r="A88" s="33" t="s">
        <v>354</v>
      </c>
      <c r="B88" s="34" t="s">
        <v>360</v>
      </c>
      <c r="C88" s="16">
        <v>873876002467</v>
      </c>
      <c r="D88" s="17">
        <v>43</v>
      </c>
      <c r="E88" s="6">
        <v>6</v>
      </c>
      <c r="F88" s="6">
        <v>1.75</v>
      </c>
      <c r="G88" s="18">
        <v>1.6</v>
      </c>
      <c r="H88" s="28">
        <f t="shared" si="16"/>
        <v>109.22</v>
      </c>
      <c r="I88" s="29">
        <f t="shared" si="17"/>
        <v>15.24</v>
      </c>
      <c r="J88" s="29">
        <f t="shared" si="18"/>
        <v>4.4450000000000003</v>
      </c>
      <c r="K88" s="14">
        <f t="shared" si="19"/>
        <v>0.72574400000000006</v>
      </c>
    </row>
    <row r="89" spans="1:11" x14ac:dyDescent="0.2">
      <c r="A89" s="26" t="s">
        <v>309</v>
      </c>
      <c r="B89" s="5" t="s">
        <v>310</v>
      </c>
      <c r="C89" s="16">
        <v>873876002597</v>
      </c>
      <c r="D89" s="17">
        <v>2</v>
      </c>
      <c r="E89" s="6">
        <v>2</v>
      </c>
      <c r="F89" s="6">
        <v>5.5</v>
      </c>
      <c r="G89" s="18">
        <v>0.4</v>
      </c>
      <c r="H89" s="13">
        <f t="shared" si="13"/>
        <v>5</v>
      </c>
      <c r="I89" s="9">
        <f t="shared" si="14"/>
        <v>5</v>
      </c>
      <c r="J89" s="9">
        <f t="shared" si="15"/>
        <v>14</v>
      </c>
      <c r="K89" s="14">
        <f t="shared" si="5"/>
        <v>0.18143694800000001</v>
      </c>
    </row>
    <row r="90" spans="1:11" x14ac:dyDescent="0.2">
      <c r="A90" s="25" t="s">
        <v>229</v>
      </c>
      <c r="B90" s="5" t="s">
        <v>252</v>
      </c>
      <c r="C90" s="16">
        <v>873876000999</v>
      </c>
      <c r="D90" s="17">
        <v>6.5</v>
      </c>
      <c r="E90" s="6">
        <v>4.5</v>
      </c>
      <c r="F90" s="6">
        <v>0.5</v>
      </c>
      <c r="G90" s="18">
        <v>0.1</v>
      </c>
      <c r="H90" s="13">
        <v>17</v>
      </c>
      <c r="I90" s="9">
        <v>12</v>
      </c>
      <c r="J90" s="9">
        <v>2</v>
      </c>
      <c r="K90" s="14">
        <v>4.5359237000000004E-2</v>
      </c>
    </row>
    <row r="91" spans="1:11" x14ac:dyDescent="0.2">
      <c r="A91" s="25" t="s">
        <v>230</v>
      </c>
      <c r="B91" s="5" t="s">
        <v>253</v>
      </c>
      <c r="C91" s="16">
        <v>873876001002</v>
      </c>
      <c r="D91" s="17">
        <v>6</v>
      </c>
      <c r="E91" s="6">
        <v>4.5</v>
      </c>
      <c r="F91" s="6">
        <v>0.5</v>
      </c>
      <c r="G91" s="18">
        <v>0.05</v>
      </c>
      <c r="H91" s="13">
        <v>16</v>
      </c>
      <c r="I91" s="9">
        <v>12</v>
      </c>
      <c r="J91" s="9">
        <v>2</v>
      </c>
      <c r="K91" s="14">
        <v>2.2679618500000002E-2</v>
      </c>
    </row>
    <row r="92" spans="1:11" x14ac:dyDescent="0.2">
      <c r="A92" s="25" t="s">
        <v>231</v>
      </c>
      <c r="B92" s="5" t="s">
        <v>254</v>
      </c>
      <c r="C92" s="16">
        <v>873876001019</v>
      </c>
      <c r="D92" s="17">
        <v>7.5</v>
      </c>
      <c r="E92" s="6">
        <v>4.5</v>
      </c>
      <c r="F92" s="6">
        <v>3</v>
      </c>
      <c r="G92" s="18">
        <v>0.2</v>
      </c>
      <c r="H92" s="13">
        <v>20</v>
      </c>
      <c r="I92" s="9">
        <v>12</v>
      </c>
      <c r="J92" s="9">
        <v>8</v>
      </c>
      <c r="K92" s="14">
        <v>9.0718474000000007E-2</v>
      </c>
    </row>
    <row r="93" spans="1:11" x14ac:dyDescent="0.2">
      <c r="A93" s="25" t="s">
        <v>232</v>
      </c>
      <c r="B93" s="5" t="s">
        <v>255</v>
      </c>
      <c r="C93" s="16">
        <v>873876001026</v>
      </c>
      <c r="D93" s="17">
        <v>9</v>
      </c>
      <c r="E93" s="6">
        <v>4.5</v>
      </c>
      <c r="F93" s="6">
        <v>1</v>
      </c>
      <c r="G93" s="18">
        <v>0.15</v>
      </c>
      <c r="H93" s="13">
        <v>23</v>
      </c>
      <c r="I93" s="9">
        <v>12</v>
      </c>
      <c r="J93" s="9">
        <v>3</v>
      </c>
      <c r="K93" s="14">
        <v>6.8038855499999995E-2</v>
      </c>
    </row>
    <row r="94" spans="1:11" x14ac:dyDescent="0.2">
      <c r="A94" s="4" t="s">
        <v>65</v>
      </c>
      <c r="B94" s="5" t="s">
        <v>256</v>
      </c>
      <c r="C94" s="16">
        <v>873876000791</v>
      </c>
      <c r="D94" s="17">
        <v>7</v>
      </c>
      <c r="E94" s="6">
        <v>4.5</v>
      </c>
      <c r="F94" s="6">
        <v>0.5</v>
      </c>
      <c r="G94" s="18">
        <v>0.05</v>
      </c>
      <c r="H94" s="13">
        <v>18</v>
      </c>
      <c r="I94" s="9">
        <v>12</v>
      </c>
      <c r="J94" s="9">
        <v>2</v>
      </c>
      <c r="K94" s="14">
        <v>2.2679618500000002E-2</v>
      </c>
    </row>
    <row r="95" spans="1:11" x14ac:dyDescent="0.2">
      <c r="A95" s="4" t="s">
        <v>237</v>
      </c>
      <c r="B95" s="5" t="s">
        <v>174</v>
      </c>
      <c r="C95" s="27">
        <v>873876002191</v>
      </c>
      <c r="D95" s="17">
        <v>12</v>
      </c>
      <c r="E95" s="6">
        <v>6</v>
      </c>
      <c r="F95" s="6">
        <v>6</v>
      </c>
      <c r="G95" s="18">
        <v>0.5</v>
      </c>
      <c r="H95" s="13">
        <v>30</v>
      </c>
      <c r="I95" s="9">
        <v>15</v>
      </c>
      <c r="J95" s="9">
        <v>15</v>
      </c>
      <c r="K95" s="14">
        <v>0.23</v>
      </c>
    </row>
    <row r="96" spans="1:11" x14ac:dyDescent="0.2">
      <c r="A96" s="4" t="s">
        <v>66</v>
      </c>
      <c r="B96" s="5" t="s">
        <v>257</v>
      </c>
      <c r="C96" s="16">
        <v>873876001613</v>
      </c>
      <c r="D96" s="17">
        <v>6.5</v>
      </c>
      <c r="E96" s="6">
        <v>4.5</v>
      </c>
      <c r="F96" s="6">
        <v>0.5</v>
      </c>
      <c r="G96" s="18">
        <v>3</v>
      </c>
      <c r="H96" s="13">
        <v>17</v>
      </c>
      <c r="I96" s="9">
        <v>12</v>
      </c>
      <c r="J96" s="9">
        <v>2</v>
      </c>
      <c r="K96" s="14">
        <v>1.3607771100000001</v>
      </c>
    </row>
    <row r="97" spans="1:11" x14ac:dyDescent="0.2">
      <c r="A97" s="4" t="s">
        <v>69</v>
      </c>
      <c r="B97" s="5" t="s">
        <v>258</v>
      </c>
      <c r="C97" s="16">
        <v>873876000838</v>
      </c>
      <c r="D97" s="17">
        <v>13</v>
      </c>
      <c r="E97" s="6">
        <v>4.5</v>
      </c>
      <c r="F97" s="6">
        <v>0.5</v>
      </c>
      <c r="G97" s="18">
        <v>0.1</v>
      </c>
      <c r="H97" s="13">
        <v>34</v>
      </c>
      <c r="I97" s="9">
        <v>12</v>
      </c>
      <c r="J97" s="9">
        <v>2</v>
      </c>
      <c r="K97" s="14">
        <v>4.5359237000000004E-2</v>
      </c>
    </row>
    <row r="98" spans="1:11" x14ac:dyDescent="0.2">
      <c r="A98" s="4" t="s">
        <v>70</v>
      </c>
      <c r="B98" s="5" t="s">
        <v>259</v>
      </c>
      <c r="C98" s="16">
        <v>873876000845</v>
      </c>
      <c r="D98" s="17">
        <v>16</v>
      </c>
      <c r="E98" s="6">
        <v>4.5</v>
      </c>
      <c r="F98" s="6">
        <v>0.5</v>
      </c>
      <c r="G98" s="18">
        <v>0.15</v>
      </c>
      <c r="H98" s="13">
        <v>41</v>
      </c>
      <c r="I98" s="9">
        <v>12</v>
      </c>
      <c r="J98" s="9">
        <v>2</v>
      </c>
      <c r="K98" s="14">
        <v>6.8038855499999995E-2</v>
      </c>
    </row>
    <row r="99" spans="1:11" x14ac:dyDescent="0.2">
      <c r="A99" s="4" t="s">
        <v>68</v>
      </c>
      <c r="B99" s="5" t="s">
        <v>260</v>
      </c>
      <c r="C99" s="16">
        <v>873876000821</v>
      </c>
      <c r="D99" s="17">
        <v>11</v>
      </c>
      <c r="E99" s="6">
        <v>4.5</v>
      </c>
      <c r="F99" s="6">
        <v>0.5</v>
      </c>
      <c r="G99" s="18">
        <v>0.1</v>
      </c>
      <c r="H99" s="13">
        <v>28</v>
      </c>
      <c r="I99" s="9">
        <v>12</v>
      </c>
      <c r="J99" s="9">
        <v>2</v>
      </c>
      <c r="K99" s="14">
        <v>4.5359237000000004E-2</v>
      </c>
    </row>
    <row r="100" spans="1:11" x14ac:dyDescent="0.2">
      <c r="A100" s="4" t="s">
        <v>71</v>
      </c>
      <c r="B100" s="5" t="s">
        <v>261</v>
      </c>
      <c r="C100" s="16">
        <v>873876000890</v>
      </c>
      <c r="D100" s="17">
        <v>5.5</v>
      </c>
      <c r="E100" s="6">
        <v>4.5</v>
      </c>
      <c r="F100" s="6">
        <v>0.5</v>
      </c>
      <c r="G100" s="18">
        <v>0.05</v>
      </c>
      <c r="H100" s="13">
        <v>14</v>
      </c>
      <c r="I100" s="9">
        <v>12</v>
      </c>
      <c r="J100" s="9">
        <v>2</v>
      </c>
      <c r="K100" s="14">
        <v>2.2679618500000002E-2</v>
      </c>
    </row>
    <row r="101" spans="1:11" x14ac:dyDescent="0.2">
      <c r="A101" s="4" t="s">
        <v>250</v>
      </c>
      <c r="B101" s="5" t="s">
        <v>249</v>
      </c>
      <c r="C101" s="30">
        <v>873876002337</v>
      </c>
      <c r="D101" s="17">
        <v>5.5</v>
      </c>
      <c r="E101" s="6">
        <v>4.5</v>
      </c>
      <c r="F101" s="6">
        <v>0.5</v>
      </c>
      <c r="G101" s="18">
        <v>0.05</v>
      </c>
      <c r="H101" s="13">
        <v>14</v>
      </c>
      <c r="I101" s="9">
        <v>12</v>
      </c>
      <c r="J101" s="9">
        <v>2</v>
      </c>
      <c r="K101" s="14">
        <v>2.2679618500000002E-2</v>
      </c>
    </row>
    <row r="102" spans="1:11" x14ac:dyDescent="0.2">
      <c r="A102" s="4" t="s">
        <v>72</v>
      </c>
      <c r="B102" s="5" t="s">
        <v>262</v>
      </c>
      <c r="C102" s="16">
        <v>873876000906</v>
      </c>
      <c r="D102" s="17">
        <v>6.5</v>
      </c>
      <c r="E102" s="6">
        <v>4.5</v>
      </c>
      <c r="F102" s="6">
        <v>0.5</v>
      </c>
      <c r="G102" s="18">
        <v>0.05</v>
      </c>
      <c r="H102" s="13">
        <v>17</v>
      </c>
      <c r="I102" s="9">
        <v>12</v>
      </c>
      <c r="J102" s="9">
        <v>2</v>
      </c>
      <c r="K102" s="14">
        <v>2.2679618500000002E-2</v>
      </c>
    </row>
    <row r="103" spans="1:11" x14ac:dyDescent="0.2">
      <c r="A103" s="4" t="s">
        <v>73</v>
      </c>
      <c r="B103" s="5" t="s">
        <v>263</v>
      </c>
      <c r="C103" s="16">
        <v>873876000937</v>
      </c>
      <c r="D103" s="17">
        <v>7</v>
      </c>
      <c r="E103" s="6">
        <v>4.5</v>
      </c>
      <c r="F103" s="6">
        <v>0.5</v>
      </c>
      <c r="G103" s="18">
        <v>0.05</v>
      </c>
      <c r="H103" s="13">
        <v>18</v>
      </c>
      <c r="I103" s="9">
        <v>12</v>
      </c>
      <c r="J103" s="9">
        <v>2</v>
      </c>
      <c r="K103" s="14">
        <v>2.2679618500000002E-2</v>
      </c>
    </row>
    <row r="104" spans="1:11" x14ac:dyDescent="0.2">
      <c r="A104" s="4" t="s">
        <v>115</v>
      </c>
      <c r="B104" s="5" t="s">
        <v>264</v>
      </c>
      <c r="C104" s="15" t="s">
        <v>175</v>
      </c>
      <c r="D104" s="17">
        <v>7</v>
      </c>
      <c r="E104" s="6">
        <v>4.5</v>
      </c>
      <c r="F104" s="6">
        <v>0.5</v>
      </c>
      <c r="G104" s="18">
        <v>0.05</v>
      </c>
      <c r="H104" s="13">
        <v>18</v>
      </c>
      <c r="I104" s="9">
        <v>12</v>
      </c>
      <c r="J104" s="9">
        <v>2</v>
      </c>
      <c r="K104" s="14">
        <v>2.2679618500000002E-2</v>
      </c>
    </row>
    <row r="105" spans="1:11" x14ac:dyDescent="0.2">
      <c r="A105" s="4" t="s">
        <v>77</v>
      </c>
      <c r="B105" s="5" t="s">
        <v>265</v>
      </c>
      <c r="C105" s="16">
        <v>873876000951</v>
      </c>
      <c r="D105" s="17">
        <v>6.5</v>
      </c>
      <c r="E105" s="6">
        <v>4.5</v>
      </c>
      <c r="F105" s="6">
        <v>0.5</v>
      </c>
      <c r="G105" s="18">
        <v>0.05</v>
      </c>
      <c r="H105" s="13">
        <v>17</v>
      </c>
      <c r="I105" s="9">
        <v>12</v>
      </c>
      <c r="J105" s="9">
        <v>2</v>
      </c>
      <c r="K105" s="14">
        <v>2.2679618500000002E-2</v>
      </c>
    </row>
    <row r="106" spans="1:11" x14ac:dyDescent="0.2">
      <c r="A106" s="4" t="s">
        <v>78</v>
      </c>
      <c r="B106" s="5" t="s">
        <v>266</v>
      </c>
      <c r="C106" s="16">
        <v>873876000975</v>
      </c>
      <c r="D106" s="17">
        <v>25.5</v>
      </c>
      <c r="E106" s="6">
        <v>4.5</v>
      </c>
      <c r="F106" s="6">
        <v>3</v>
      </c>
      <c r="G106" s="18">
        <v>1.95</v>
      </c>
      <c r="H106" s="13">
        <v>65</v>
      </c>
      <c r="I106" s="9">
        <v>12</v>
      </c>
      <c r="J106" s="9">
        <v>8</v>
      </c>
      <c r="K106" s="14">
        <v>0.88450512150000005</v>
      </c>
    </row>
    <row r="107" spans="1:11" x14ac:dyDescent="0.2">
      <c r="A107" s="4" t="s">
        <v>322</v>
      </c>
      <c r="B107" s="5" t="s">
        <v>323</v>
      </c>
      <c r="C107" s="16">
        <v>873876002429</v>
      </c>
      <c r="D107" s="17">
        <v>7</v>
      </c>
      <c r="E107" s="6">
        <v>4</v>
      </c>
      <c r="F107" s="6">
        <v>1</v>
      </c>
      <c r="G107" s="18">
        <v>0.1</v>
      </c>
      <c r="H107" s="13">
        <f>ROUND(D107*2.54,0)</f>
        <v>18</v>
      </c>
      <c r="I107" s="9">
        <f t="shared" ref="I107" si="20">ROUND(E107*2.54,0)</f>
        <v>10</v>
      </c>
      <c r="J107" s="9">
        <f t="shared" ref="J107" si="21">ROUND(F107*2.54,0)</f>
        <v>3</v>
      </c>
      <c r="K107" s="14">
        <f t="shared" ref="K107" si="22">G107*0.45359237</f>
        <v>4.5359237000000004E-2</v>
      </c>
    </row>
    <row r="108" spans="1:11" x14ac:dyDescent="0.2">
      <c r="A108" s="4" t="s">
        <v>125</v>
      </c>
      <c r="B108" s="5" t="s">
        <v>267</v>
      </c>
      <c r="C108" s="15" t="s">
        <v>176</v>
      </c>
      <c r="D108" s="17">
        <v>8</v>
      </c>
      <c r="E108" s="6">
        <v>4.25</v>
      </c>
      <c r="F108" s="6">
        <v>1.25</v>
      </c>
      <c r="G108" s="18">
        <v>0.4</v>
      </c>
      <c r="H108" s="13">
        <v>21</v>
      </c>
      <c r="I108" s="9">
        <v>11</v>
      </c>
      <c r="J108" s="9">
        <v>4</v>
      </c>
      <c r="K108" s="14">
        <v>0.18143694800000001</v>
      </c>
    </row>
    <row r="109" spans="1:11" x14ac:dyDescent="0.2">
      <c r="A109" s="4" t="s">
        <v>80</v>
      </c>
      <c r="B109" s="5" t="s">
        <v>268</v>
      </c>
      <c r="C109" s="16">
        <v>873876000982</v>
      </c>
      <c r="D109" s="17">
        <v>8</v>
      </c>
      <c r="E109" s="6">
        <v>4.5</v>
      </c>
      <c r="F109" s="6">
        <v>0.5</v>
      </c>
      <c r="G109" s="18">
        <v>0.65</v>
      </c>
      <c r="H109" s="13">
        <v>21</v>
      </c>
      <c r="I109" s="9">
        <v>12</v>
      </c>
      <c r="J109" s="9">
        <v>2</v>
      </c>
      <c r="K109" s="14">
        <v>0.29483504050000003</v>
      </c>
    </row>
    <row r="110" spans="1:11" x14ac:dyDescent="0.2">
      <c r="A110" s="4" t="s">
        <v>67</v>
      </c>
      <c r="B110" s="5" t="s">
        <v>269</v>
      </c>
      <c r="C110" s="16">
        <v>873876000807</v>
      </c>
      <c r="D110" s="17">
        <v>9</v>
      </c>
      <c r="E110" s="6">
        <v>4.5</v>
      </c>
      <c r="F110" s="6">
        <v>0.5</v>
      </c>
      <c r="G110" s="18">
        <v>0.1</v>
      </c>
      <c r="H110" s="13">
        <v>23</v>
      </c>
      <c r="I110" s="9">
        <v>12</v>
      </c>
      <c r="J110" s="9">
        <v>2</v>
      </c>
      <c r="K110" s="14">
        <v>4.5359237000000004E-2</v>
      </c>
    </row>
    <row r="111" spans="1:11" x14ac:dyDescent="0.2">
      <c r="A111" s="4" t="s">
        <v>126</v>
      </c>
      <c r="B111" s="5" t="s">
        <v>270</v>
      </c>
      <c r="C111" s="15" t="s">
        <v>177</v>
      </c>
      <c r="D111" s="17">
        <v>6.25</v>
      </c>
      <c r="E111" s="6">
        <v>4</v>
      </c>
      <c r="F111" s="6">
        <v>0.5</v>
      </c>
      <c r="G111" s="18">
        <v>0.15</v>
      </c>
      <c r="H111" s="13">
        <v>16</v>
      </c>
      <c r="I111" s="9">
        <v>11</v>
      </c>
      <c r="J111" s="9">
        <v>2</v>
      </c>
      <c r="K111" s="14">
        <v>6.8038855499999995E-2</v>
      </c>
    </row>
    <row r="112" spans="1:11" x14ac:dyDescent="0.2">
      <c r="A112" s="4" t="s">
        <v>127</v>
      </c>
      <c r="B112" s="5" t="s">
        <v>271</v>
      </c>
      <c r="C112" s="15" t="s">
        <v>178</v>
      </c>
      <c r="D112" s="17">
        <v>7.5</v>
      </c>
      <c r="E112" s="6">
        <v>4</v>
      </c>
      <c r="F112" s="6">
        <v>1</v>
      </c>
      <c r="G112" s="18">
        <v>0.05</v>
      </c>
      <c r="H112" s="13">
        <v>20</v>
      </c>
      <c r="I112" s="9">
        <v>11</v>
      </c>
      <c r="J112" s="9">
        <v>3</v>
      </c>
      <c r="K112" s="14">
        <v>2.2679618500000002E-2</v>
      </c>
    </row>
    <row r="113" spans="1:11" x14ac:dyDescent="0.2">
      <c r="A113" s="4" t="s">
        <v>81</v>
      </c>
      <c r="B113" s="5" t="s">
        <v>272</v>
      </c>
      <c r="C113" s="16">
        <v>873876000852</v>
      </c>
      <c r="D113" s="17">
        <v>7</v>
      </c>
      <c r="E113" s="6">
        <v>4.5</v>
      </c>
      <c r="F113" s="6">
        <v>0.5</v>
      </c>
      <c r="G113" s="18">
        <v>0.1</v>
      </c>
      <c r="H113" s="13">
        <v>18</v>
      </c>
      <c r="I113" s="9">
        <v>12</v>
      </c>
      <c r="J113" s="9">
        <v>2</v>
      </c>
      <c r="K113" s="14">
        <v>4.5359237000000004E-2</v>
      </c>
    </row>
    <row r="114" spans="1:11" x14ac:dyDescent="0.2">
      <c r="A114" s="4" t="s">
        <v>74</v>
      </c>
      <c r="B114" s="5" t="s">
        <v>273</v>
      </c>
      <c r="C114" s="16">
        <v>873876000913</v>
      </c>
      <c r="D114" s="17">
        <v>9.5</v>
      </c>
      <c r="E114" s="6">
        <v>4.5</v>
      </c>
      <c r="F114" s="6">
        <v>0.5</v>
      </c>
      <c r="G114" s="18">
        <v>0.1</v>
      </c>
      <c r="H114" s="13">
        <v>25</v>
      </c>
      <c r="I114" s="9">
        <v>12</v>
      </c>
      <c r="J114" s="9">
        <v>2</v>
      </c>
      <c r="K114" s="14">
        <v>4.5359237000000004E-2</v>
      </c>
    </row>
    <row r="115" spans="1:11" x14ac:dyDescent="0.2">
      <c r="A115" s="4" t="s">
        <v>247</v>
      </c>
      <c r="B115" s="5" t="s">
        <v>248</v>
      </c>
      <c r="C115" s="30">
        <v>873876002344</v>
      </c>
      <c r="D115" s="17">
        <v>9.5</v>
      </c>
      <c r="E115" s="6">
        <v>4.5</v>
      </c>
      <c r="F115" s="6">
        <v>0.5</v>
      </c>
      <c r="G115" s="18">
        <v>0.1</v>
      </c>
      <c r="H115" s="13">
        <v>25</v>
      </c>
      <c r="I115" s="9">
        <v>12</v>
      </c>
      <c r="J115" s="9">
        <v>2</v>
      </c>
      <c r="K115" s="14">
        <v>4.5359237000000004E-2</v>
      </c>
    </row>
    <row r="116" spans="1:11" x14ac:dyDescent="0.2">
      <c r="A116" s="4" t="s">
        <v>75</v>
      </c>
      <c r="B116" s="5" t="s">
        <v>274</v>
      </c>
      <c r="C116" s="16">
        <v>873876000920</v>
      </c>
      <c r="D116" s="17">
        <v>9.5</v>
      </c>
      <c r="E116" s="6">
        <v>4.5</v>
      </c>
      <c r="F116" s="6">
        <v>0.5</v>
      </c>
      <c r="G116" s="18">
        <v>0.1</v>
      </c>
      <c r="H116" s="13">
        <v>25</v>
      </c>
      <c r="I116" s="9">
        <v>12</v>
      </c>
      <c r="J116" s="9">
        <v>2</v>
      </c>
      <c r="K116" s="14">
        <v>4.5359237000000004E-2</v>
      </c>
    </row>
    <row r="117" spans="1:11" x14ac:dyDescent="0.2">
      <c r="A117" s="4" t="s">
        <v>76</v>
      </c>
      <c r="B117" s="5" t="s">
        <v>275</v>
      </c>
      <c r="C117" s="16">
        <v>873876000944</v>
      </c>
      <c r="D117" s="17">
        <v>9.5</v>
      </c>
      <c r="E117" s="6">
        <v>4.5</v>
      </c>
      <c r="F117" s="7">
        <v>0.5</v>
      </c>
      <c r="G117" s="18">
        <v>0.1</v>
      </c>
      <c r="H117" s="13">
        <v>25</v>
      </c>
      <c r="I117" s="9">
        <v>12</v>
      </c>
      <c r="J117" s="9">
        <v>2</v>
      </c>
      <c r="K117" s="14">
        <v>4.5359237000000004E-2</v>
      </c>
    </row>
    <row r="118" spans="1:11" x14ac:dyDescent="0.2">
      <c r="A118" s="4" t="s">
        <v>114</v>
      </c>
      <c r="B118" s="5" t="s">
        <v>276</v>
      </c>
      <c r="C118" s="15" t="s">
        <v>179</v>
      </c>
      <c r="D118" s="17">
        <v>9.5</v>
      </c>
      <c r="E118" s="6">
        <v>4.5</v>
      </c>
      <c r="F118" s="7">
        <v>0.5</v>
      </c>
      <c r="G118" s="18">
        <v>0.1</v>
      </c>
      <c r="H118" s="13">
        <v>25</v>
      </c>
      <c r="I118" s="9">
        <v>12</v>
      </c>
      <c r="J118" s="9">
        <v>2</v>
      </c>
      <c r="K118" s="14">
        <v>4.5359237000000004E-2</v>
      </c>
    </row>
    <row r="119" spans="1:11" x14ac:dyDescent="0.2">
      <c r="A119" s="4" t="s">
        <v>79</v>
      </c>
      <c r="B119" s="5" t="s">
        <v>277</v>
      </c>
      <c r="C119" s="16">
        <v>873876000968</v>
      </c>
      <c r="D119" s="17">
        <v>7</v>
      </c>
      <c r="E119" s="6">
        <v>4.5</v>
      </c>
      <c r="F119" s="6">
        <v>0.5</v>
      </c>
      <c r="G119" s="18">
        <v>0.1</v>
      </c>
      <c r="H119" s="13">
        <v>18</v>
      </c>
      <c r="I119" s="9">
        <v>12</v>
      </c>
      <c r="J119" s="9">
        <v>2</v>
      </c>
      <c r="K119" s="14">
        <v>4.5359237000000004E-2</v>
      </c>
    </row>
    <row r="120" spans="1:11" x14ac:dyDescent="0.2">
      <c r="A120" s="4" t="s">
        <v>83</v>
      </c>
      <c r="B120" s="5" t="s">
        <v>278</v>
      </c>
      <c r="C120" s="16">
        <v>873876000876</v>
      </c>
      <c r="D120" s="17">
        <v>14</v>
      </c>
      <c r="E120" s="6">
        <v>4.5</v>
      </c>
      <c r="F120" s="6">
        <v>0.5</v>
      </c>
      <c r="G120" s="18">
        <v>0.15</v>
      </c>
      <c r="H120" s="13">
        <v>36</v>
      </c>
      <c r="I120" s="9">
        <v>12</v>
      </c>
      <c r="J120" s="9">
        <v>2</v>
      </c>
      <c r="K120" s="14">
        <v>6.8038855499999995E-2</v>
      </c>
    </row>
    <row r="121" spans="1:11" x14ac:dyDescent="0.2">
      <c r="A121" s="4" t="s">
        <v>84</v>
      </c>
      <c r="B121" s="5" t="s">
        <v>279</v>
      </c>
      <c r="C121" s="16">
        <v>873876000883</v>
      </c>
      <c r="D121" s="17">
        <v>15.5</v>
      </c>
      <c r="E121" s="6">
        <v>4.5</v>
      </c>
      <c r="F121" s="6">
        <v>0.5</v>
      </c>
      <c r="G121" s="18">
        <v>0.15</v>
      </c>
      <c r="H121" s="13">
        <v>40</v>
      </c>
      <c r="I121" s="9">
        <v>12</v>
      </c>
      <c r="J121" s="9">
        <v>2</v>
      </c>
      <c r="K121" s="14">
        <v>6.8038855499999995E-2</v>
      </c>
    </row>
    <row r="122" spans="1:11" x14ac:dyDescent="0.2">
      <c r="A122" s="4" t="s">
        <v>82</v>
      </c>
      <c r="B122" s="5" t="s">
        <v>280</v>
      </c>
      <c r="C122" s="16">
        <v>873876000869</v>
      </c>
      <c r="D122" s="17">
        <v>12</v>
      </c>
      <c r="E122" s="6">
        <v>4.5</v>
      </c>
      <c r="F122" s="6">
        <v>0.5</v>
      </c>
      <c r="G122" s="18">
        <v>0.15</v>
      </c>
      <c r="H122" s="13">
        <v>31</v>
      </c>
      <c r="I122" s="9">
        <v>12</v>
      </c>
      <c r="J122" s="9">
        <v>2</v>
      </c>
      <c r="K122" s="14">
        <v>6.8038855499999995E-2</v>
      </c>
    </row>
    <row r="123" spans="1:11" x14ac:dyDescent="0.2">
      <c r="A123" s="4" t="s">
        <v>234</v>
      </c>
      <c r="B123" s="5" t="s">
        <v>281</v>
      </c>
      <c r="C123" s="15" t="s">
        <v>180</v>
      </c>
      <c r="D123" s="17">
        <v>16.5</v>
      </c>
      <c r="E123" s="6">
        <v>4</v>
      </c>
      <c r="F123" s="6">
        <v>1.25</v>
      </c>
      <c r="G123" s="18">
        <v>0.6</v>
      </c>
      <c r="H123" s="13">
        <v>44</v>
      </c>
      <c r="I123" s="9">
        <v>11</v>
      </c>
      <c r="J123" s="9">
        <v>3</v>
      </c>
      <c r="K123" s="14">
        <v>0.47627198850000002</v>
      </c>
    </row>
    <row r="124" spans="1:11" x14ac:dyDescent="0.2">
      <c r="A124" s="4" t="s">
        <v>235</v>
      </c>
      <c r="B124" s="5" t="s">
        <v>282</v>
      </c>
      <c r="C124" s="16">
        <v>873876002375</v>
      </c>
      <c r="D124" s="17">
        <v>16.5</v>
      </c>
      <c r="E124" s="6">
        <v>4</v>
      </c>
      <c r="F124" s="6">
        <v>2.5</v>
      </c>
      <c r="G124" s="18">
        <v>0.8</v>
      </c>
      <c r="H124" s="28">
        <v>41.910000000000004</v>
      </c>
      <c r="I124" s="29">
        <v>10.16</v>
      </c>
      <c r="J124" s="29">
        <v>6.35</v>
      </c>
      <c r="K124" s="14">
        <v>0.36280000000000001</v>
      </c>
    </row>
    <row r="125" spans="1:11" x14ac:dyDescent="0.2">
      <c r="A125" s="4" t="s">
        <v>236</v>
      </c>
      <c r="B125" s="5" t="s">
        <v>283</v>
      </c>
      <c r="C125" s="16">
        <v>873876001972</v>
      </c>
      <c r="D125" s="17">
        <v>17</v>
      </c>
      <c r="E125" s="6" t="s">
        <v>239</v>
      </c>
      <c r="F125" s="6">
        <v>1.25</v>
      </c>
      <c r="G125" s="18">
        <v>1.1000000000000001</v>
      </c>
      <c r="H125" s="13">
        <v>43</v>
      </c>
      <c r="I125" s="9">
        <v>11</v>
      </c>
      <c r="J125" s="9">
        <v>3</v>
      </c>
      <c r="K125" s="14">
        <v>0.49</v>
      </c>
    </row>
    <row r="126" spans="1:11" x14ac:dyDescent="0.2">
      <c r="A126" s="4" t="s">
        <v>222</v>
      </c>
      <c r="B126" s="5" t="s">
        <v>284</v>
      </c>
      <c r="C126" s="16">
        <v>873876002276</v>
      </c>
      <c r="D126" s="17">
        <v>7</v>
      </c>
      <c r="E126" s="6">
        <v>4</v>
      </c>
      <c r="F126" s="6">
        <v>1</v>
      </c>
      <c r="G126" s="18">
        <v>0.05</v>
      </c>
      <c r="H126" s="13">
        <f>ROUND(D126*2.54,0)</f>
        <v>18</v>
      </c>
      <c r="I126" s="9">
        <f t="shared" ref="I126:J126" si="23">ROUND(E126*2.54,0)</f>
        <v>10</v>
      </c>
      <c r="J126" s="9">
        <f t="shared" si="23"/>
        <v>3</v>
      </c>
      <c r="K126" s="14">
        <f>G126*0.45359237</f>
        <v>2.2679618500000002E-2</v>
      </c>
    </row>
    <row r="127" spans="1:11" x14ac:dyDescent="0.2">
      <c r="A127" s="4" t="s">
        <v>223</v>
      </c>
      <c r="B127" s="5" t="s">
        <v>285</v>
      </c>
      <c r="C127" s="16">
        <v>873876002283</v>
      </c>
      <c r="D127" s="17">
        <v>10</v>
      </c>
      <c r="E127" s="6">
        <v>4</v>
      </c>
      <c r="F127" s="6">
        <v>2</v>
      </c>
      <c r="G127" s="18">
        <v>0.25</v>
      </c>
      <c r="H127" s="13">
        <f>ROUND(D127*2.54,0)</f>
        <v>25</v>
      </c>
      <c r="I127" s="9">
        <f t="shared" ref="I127" si="24">ROUND(E127*2.54,0)</f>
        <v>10</v>
      </c>
      <c r="J127" s="9">
        <f t="shared" ref="J127" si="25">ROUND(F127*2.54,0)</f>
        <v>5</v>
      </c>
      <c r="K127" s="14">
        <f>G127*0.45359237</f>
        <v>0.11339809250000001</v>
      </c>
    </row>
    <row r="128" spans="1:11" x14ac:dyDescent="0.2">
      <c r="A128" s="26" t="s">
        <v>233</v>
      </c>
      <c r="B128" s="5" t="s">
        <v>238</v>
      </c>
      <c r="C128" s="16">
        <v>873876002016</v>
      </c>
      <c r="D128" s="17">
        <v>14</v>
      </c>
      <c r="E128" s="6">
        <v>8.25</v>
      </c>
      <c r="F128" s="6">
        <v>6.5</v>
      </c>
      <c r="G128" s="18">
        <v>2.2999999999999998</v>
      </c>
      <c r="H128" s="13">
        <v>36</v>
      </c>
      <c r="I128" s="9">
        <v>21</v>
      </c>
      <c r="J128" s="9">
        <v>17</v>
      </c>
      <c r="K128" s="14">
        <v>1.0432624509999999</v>
      </c>
    </row>
    <row r="129" spans="1:11" x14ac:dyDescent="0.2">
      <c r="A129" s="26" t="s">
        <v>296</v>
      </c>
      <c r="B129" s="5" t="s">
        <v>311</v>
      </c>
      <c r="C129" s="16">
        <v>873876002634</v>
      </c>
      <c r="D129" s="17">
        <v>10</v>
      </c>
      <c r="E129" s="6">
        <v>4.5</v>
      </c>
      <c r="F129" s="6">
        <v>6.25</v>
      </c>
      <c r="G129" s="18">
        <v>1.3</v>
      </c>
      <c r="H129" s="13">
        <f t="shared" ref="H129:H134" si="26">ROUND(D129*2.54,0)</f>
        <v>25</v>
      </c>
      <c r="I129" s="9">
        <f t="shared" ref="I129:I134" si="27">ROUND(E129*2.54,0)</f>
        <v>11</v>
      </c>
      <c r="J129" s="9">
        <f t="shared" ref="J129:J134" si="28">ROUND(F129*2.54,0)</f>
        <v>16</v>
      </c>
      <c r="K129" s="14">
        <f t="shared" ref="K129:K134" si="29">G129*0.45359237</f>
        <v>0.58967008100000007</v>
      </c>
    </row>
    <row r="130" spans="1:11" x14ac:dyDescent="0.2">
      <c r="A130" s="26" t="s">
        <v>297</v>
      </c>
      <c r="B130" s="5" t="s">
        <v>312</v>
      </c>
      <c r="C130" s="16">
        <v>873876002641</v>
      </c>
      <c r="D130" s="17">
        <v>12</v>
      </c>
      <c r="E130" s="6">
        <v>4.5</v>
      </c>
      <c r="F130" s="6">
        <v>6.25</v>
      </c>
      <c r="G130" s="18">
        <v>1.5</v>
      </c>
      <c r="H130" s="13">
        <f t="shared" si="26"/>
        <v>30</v>
      </c>
      <c r="I130" s="9">
        <f t="shared" si="27"/>
        <v>11</v>
      </c>
      <c r="J130" s="9">
        <f t="shared" si="28"/>
        <v>16</v>
      </c>
      <c r="K130" s="14">
        <f t="shared" si="29"/>
        <v>0.68038855500000006</v>
      </c>
    </row>
    <row r="131" spans="1:11" x14ac:dyDescent="0.2">
      <c r="A131" s="26" t="s">
        <v>298</v>
      </c>
      <c r="B131" s="5" t="s">
        <v>313</v>
      </c>
      <c r="C131" s="16">
        <v>873876002658</v>
      </c>
      <c r="D131" s="17">
        <v>14</v>
      </c>
      <c r="E131" s="6">
        <v>4.5</v>
      </c>
      <c r="F131" s="6">
        <v>6.25</v>
      </c>
      <c r="G131" s="18">
        <v>1.8</v>
      </c>
      <c r="H131" s="13">
        <f t="shared" si="26"/>
        <v>36</v>
      </c>
      <c r="I131" s="9">
        <f t="shared" si="27"/>
        <v>11</v>
      </c>
      <c r="J131" s="9">
        <f t="shared" si="28"/>
        <v>16</v>
      </c>
      <c r="K131" s="14">
        <f t="shared" si="29"/>
        <v>0.81646626600000005</v>
      </c>
    </row>
    <row r="132" spans="1:11" x14ac:dyDescent="0.2">
      <c r="A132" s="26" t="s">
        <v>299</v>
      </c>
      <c r="B132" s="5" t="s">
        <v>314</v>
      </c>
      <c r="C132" s="16">
        <v>873876002665</v>
      </c>
      <c r="D132" s="17">
        <v>10</v>
      </c>
      <c r="E132" s="6">
        <v>4.5</v>
      </c>
      <c r="F132" s="6">
        <v>6.25</v>
      </c>
      <c r="G132" s="18">
        <v>0.65</v>
      </c>
      <c r="H132" s="13">
        <f t="shared" si="26"/>
        <v>25</v>
      </c>
      <c r="I132" s="9">
        <f t="shared" si="27"/>
        <v>11</v>
      </c>
      <c r="J132" s="9">
        <f t="shared" si="28"/>
        <v>16</v>
      </c>
      <c r="K132" s="14">
        <f t="shared" si="29"/>
        <v>0.29483504050000003</v>
      </c>
    </row>
    <row r="133" spans="1:11" x14ac:dyDescent="0.2">
      <c r="A133" s="26" t="s">
        <v>300</v>
      </c>
      <c r="B133" s="5" t="s">
        <v>315</v>
      </c>
      <c r="C133" s="16">
        <v>873876002672</v>
      </c>
      <c r="D133" s="17">
        <v>12</v>
      </c>
      <c r="E133" s="6">
        <v>4.5</v>
      </c>
      <c r="F133" s="6">
        <v>6.25</v>
      </c>
      <c r="G133" s="18">
        <v>0.8</v>
      </c>
      <c r="H133" s="13">
        <f t="shared" si="26"/>
        <v>30</v>
      </c>
      <c r="I133" s="9">
        <f t="shared" si="27"/>
        <v>11</v>
      </c>
      <c r="J133" s="9">
        <f t="shared" si="28"/>
        <v>16</v>
      </c>
      <c r="K133" s="14">
        <f t="shared" si="29"/>
        <v>0.36287389600000003</v>
      </c>
    </row>
    <row r="134" spans="1:11" x14ac:dyDescent="0.2">
      <c r="A134" s="26" t="s">
        <v>301</v>
      </c>
      <c r="B134" s="5" t="s">
        <v>316</v>
      </c>
      <c r="C134" s="16">
        <v>873876002689</v>
      </c>
      <c r="D134" s="17">
        <v>14</v>
      </c>
      <c r="E134" s="6">
        <v>4.5</v>
      </c>
      <c r="F134" s="6">
        <v>6.25</v>
      </c>
      <c r="G134" s="18">
        <v>0.85</v>
      </c>
      <c r="H134" s="13">
        <f t="shared" si="26"/>
        <v>36</v>
      </c>
      <c r="I134" s="9">
        <f t="shared" si="27"/>
        <v>11</v>
      </c>
      <c r="J134" s="9">
        <f t="shared" si="28"/>
        <v>16</v>
      </c>
      <c r="K134" s="14">
        <f t="shared" si="29"/>
        <v>0.38555351450000003</v>
      </c>
    </row>
    <row r="135" spans="1:11" x14ac:dyDescent="0.2">
      <c r="A135" s="26" t="s">
        <v>333</v>
      </c>
      <c r="B135" s="5" t="s">
        <v>334</v>
      </c>
      <c r="C135" s="16">
        <v>873876002825</v>
      </c>
      <c r="D135" s="17">
        <v>7</v>
      </c>
      <c r="E135" s="6">
        <v>4.5</v>
      </c>
      <c r="F135" s="6">
        <v>0.5</v>
      </c>
      <c r="G135" s="18">
        <v>0.1</v>
      </c>
      <c r="H135" s="13">
        <v>18</v>
      </c>
      <c r="I135" s="9">
        <v>12</v>
      </c>
      <c r="J135" s="9">
        <v>2</v>
      </c>
      <c r="K135" s="14">
        <v>4.5359237000000004E-2</v>
      </c>
    </row>
    <row r="136" spans="1:11" x14ac:dyDescent="0.2">
      <c r="A136" s="4" t="s">
        <v>85</v>
      </c>
      <c r="B136" s="5" t="s">
        <v>181</v>
      </c>
      <c r="C136" s="16" t="s">
        <v>86</v>
      </c>
      <c r="D136" s="17">
        <v>55</v>
      </c>
      <c r="E136" s="6">
        <v>7</v>
      </c>
      <c r="F136" s="6">
        <v>7</v>
      </c>
      <c r="G136" s="18">
        <v>7.7</v>
      </c>
      <c r="H136" s="13">
        <v>140</v>
      </c>
      <c r="I136" s="9">
        <v>18</v>
      </c>
      <c r="J136" s="9">
        <v>18</v>
      </c>
      <c r="K136" s="14">
        <v>3.4926612490000002</v>
      </c>
    </row>
    <row r="137" spans="1:11" x14ac:dyDescent="0.2">
      <c r="A137" s="4" t="s">
        <v>128</v>
      </c>
      <c r="B137" s="5" t="s">
        <v>129</v>
      </c>
      <c r="C137" s="15" t="s">
        <v>182</v>
      </c>
      <c r="D137" s="17">
        <v>10</v>
      </c>
      <c r="E137" s="6">
        <v>6.25</v>
      </c>
      <c r="F137" s="6">
        <v>8.75</v>
      </c>
      <c r="G137" s="18">
        <v>2.65</v>
      </c>
      <c r="H137" s="13">
        <v>26</v>
      </c>
      <c r="I137" s="9">
        <v>16</v>
      </c>
      <c r="J137" s="9">
        <v>23</v>
      </c>
      <c r="K137" s="14">
        <v>1.2020197804999999</v>
      </c>
    </row>
    <row r="138" spans="1:11" x14ac:dyDescent="0.2">
      <c r="A138" s="4" t="s">
        <v>130</v>
      </c>
      <c r="B138" s="5" t="s">
        <v>131</v>
      </c>
      <c r="C138" s="15" t="s">
        <v>183</v>
      </c>
      <c r="D138" s="17">
        <v>12</v>
      </c>
      <c r="E138" s="6">
        <v>6.25</v>
      </c>
      <c r="F138" s="6">
        <v>8.75</v>
      </c>
      <c r="G138" s="18">
        <v>3.25</v>
      </c>
      <c r="H138" s="13">
        <v>31</v>
      </c>
      <c r="I138" s="9">
        <v>16</v>
      </c>
      <c r="J138" s="9">
        <v>23</v>
      </c>
      <c r="K138" s="14">
        <v>1.4741752025000001</v>
      </c>
    </row>
    <row r="139" spans="1:11" x14ac:dyDescent="0.2">
      <c r="A139" s="4" t="s">
        <v>132</v>
      </c>
      <c r="B139" s="5" t="s">
        <v>133</v>
      </c>
      <c r="C139" s="15" t="s">
        <v>184</v>
      </c>
      <c r="D139" s="17">
        <v>14</v>
      </c>
      <c r="E139" s="6">
        <v>6.25</v>
      </c>
      <c r="F139" s="6">
        <v>8.75</v>
      </c>
      <c r="G139" s="18">
        <v>3.7</v>
      </c>
      <c r="H139" s="13">
        <v>36</v>
      </c>
      <c r="I139" s="9">
        <v>16</v>
      </c>
      <c r="J139" s="9">
        <v>23</v>
      </c>
      <c r="K139" s="14">
        <v>1.6782917690000001</v>
      </c>
    </row>
    <row r="140" spans="1:11" x14ac:dyDescent="0.2">
      <c r="A140" s="4" t="s">
        <v>87</v>
      </c>
      <c r="B140" s="5" t="s">
        <v>185</v>
      </c>
      <c r="C140" s="16" t="s">
        <v>94</v>
      </c>
      <c r="D140" s="17">
        <v>38</v>
      </c>
      <c r="E140" s="6">
        <v>6</v>
      </c>
      <c r="F140" s="6">
        <v>6</v>
      </c>
      <c r="G140" s="18">
        <v>3.6</v>
      </c>
      <c r="H140" s="13">
        <v>97</v>
      </c>
      <c r="I140" s="9">
        <v>16</v>
      </c>
      <c r="J140" s="9">
        <v>16</v>
      </c>
      <c r="K140" s="14">
        <v>1.6329325320000001</v>
      </c>
    </row>
    <row r="141" spans="1:11" x14ac:dyDescent="0.2">
      <c r="A141" s="4" t="s">
        <v>88</v>
      </c>
      <c r="B141" s="5" t="s">
        <v>186</v>
      </c>
      <c r="C141" s="16" t="s">
        <v>95</v>
      </c>
      <c r="D141" s="17">
        <v>46</v>
      </c>
      <c r="E141" s="6">
        <v>6</v>
      </c>
      <c r="F141" s="6">
        <v>6</v>
      </c>
      <c r="G141" s="18">
        <v>4</v>
      </c>
      <c r="H141" s="13">
        <v>117</v>
      </c>
      <c r="I141" s="9">
        <v>16</v>
      </c>
      <c r="J141" s="9">
        <v>16</v>
      </c>
      <c r="K141" s="14">
        <v>1.8143694800000001</v>
      </c>
    </row>
    <row r="142" spans="1:11" x14ac:dyDescent="0.2">
      <c r="A142" s="4" t="s">
        <v>89</v>
      </c>
      <c r="B142" s="5" t="s">
        <v>187</v>
      </c>
      <c r="C142" s="16" t="s">
        <v>96</v>
      </c>
      <c r="D142" s="17">
        <v>59</v>
      </c>
      <c r="E142" s="6">
        <v>6</v>
      </c>
      <c r="F142" s="6">
        <v>6</v>
      </c>
      <c r="G142" s="18">
        <v>4.5999999999999996</v>
      </c>
      <c r="H142" s="13">
        <v>150</v>
      </c>
      <c r="I142" s="9">
        <v>16</v>
      </c>
      <c r="J142" s="9">
        <v>16</v>
      </c>
      <c r="K142" s="14">
        <v>2.0865249019999998</v>
      </c>
    </row>
    <row r="143" spans="1:11" x14ac:dyDescent="0.2">
      <c r="A143" s="4" t="s">
        <v>90</v>
      </c>
      <c r="B143" s="5" t="s">
        <v>188</v>
      </c>
      <c r="C143" s="16" t="s">
        <v>97</v>
      </c>
      <c r="D143" s="17">
        <v>76</v>
      </c>
      <c r="E143" s="6">
        <v>6</v>
      </c>
      <c r="F143" s="6">
        <v>6</v>
      </c>
      <c r="G143" s="18">
        <v>5.4</v>
      </c>
      <c r="H143" s="13">
        <v>194</v>
      </c>
      <c r="I143" s="9">
        <v>16</v>
      </c>
      <c r="J143" s="9">
        <v>16</v>
      </c>
      <c r="K143" s="14">
        <v>2.4493987980000003</v>
      </c>
    </row>
    <row r="144" spans="1:11" x14ac:dyDescent="0.2">
      <c r="A144" s="4" t="s">
        <v>98</v>
      </c>
      <c r="B144" s="5" t="s">
        <v>189</v>
      </c>
      <c r="C144" s="16" t="s">
        <v>99</v>
      </c>
      <c r="D144" s="17">
        <v>46</v>
      </c>
      <c r="E144" s="6">
        <v>6.5</v>
      </c>
      <c r="F144" s="6">
        <v>3.3</v>
      </c>
      <c r="G144" s="18">
        <v>2.2000000000000002</v>
      </c>
      <c r="H144" s="13">
        <v>117</v>
      </c>
      <c r="I144" s="9">
        <v>17</v>
      </c>
      <c r="J144" s="9">
        <v>9</v>
      </c>
      <c r="K144" s="14">
        <v>0.99790321400000015</v>
      </c>
    </row>
    <row r="145" spans="1:11" x14ac:dyDescent="0.2">
      <c r="A145" s="4" t="s">
        <v>100</v>
      </c>
      <c r="B145" s="5" t="s">
        <v>190</v>
      </c>
      <c r="C145" s="16" t="s">
        <v>101</v>
      </c>
      <c r="D145" s="17">
        <v>76</v>
      </c>
      <c r="E145" s="6">
        <v>6.5</v>
      </c>
      <c r="F145" s="6">
        <v>3.3</v>
      </c>
      <c r="G145" s="18">
        <v>3.4</v>
      </c>
      <c r="H145" s="13">
        <v>194</v>
      </c>
      <c r="I145" s="9">
        <v>17</v>
      </c>
      <c r="J145" s="9">
        <v>9</v>
      </c>
      <c r="K145" s="14">
        <v>1.5422140580000001</v>
      </c>
    </row>
    <row r="146" spans="1:11" x14ac:dyDescent="0.2">
      <c r="A146" s="4" t="s">
        <v>91</v>
      </c>
      <c r="B146" s="5" t="s">
        <v>369</v>
      </c>
      <c r="C146" s="16" t="s">
        <v>102</v>
      </c>
      <c r="D146" s="17">
        <v>45</v>
      </c>
      <c r="E146" s="6">
        <v>29</v>
      </c>
      <c r="F146" s="6">
        <v>48</v>
      </c>
      <c r="G146" s="18">
        <v>196</v>
      </c>
      <c r="H146" s="13">
        <v>115</v>
      </c>
      <c r="I146" s="9">
        <v>74</v>
      </c>
      <c r="J146" s="9">
        <v>122</v>
      </c>
      <c r="K146" s="14">
        <v>88.904104520000004</v>
      </c>
    </row>
    <row r="147" spans="1:11" x14ac:dyDescent="0.2">
      <c r="A147" s="4" t="s">
        <v>251</v>
      </c>
      <c r="B147" s="5" t="s">
        <v>368</v>
      </c>
      <c r="C147" s="16">
        <v>873876002368</v>
      </c>
      <c r="D147" s="17">
        <v>45</v>
      </c>
      <c r="E147" s="6">
        <v>29</v>
      </c>
      <c r="F147" s="6">
        <v>48</v>
      </c>
      <c r="G147" s="18">
        <v>196</v>
      </c>
      <c r="H147" s="13">
        <v>115</v>
      </c>
      <c r="I147" s="9">
        <v>74</v>
      </c>
      <c r="J147" s="9">
        <v>122</v>
      </c>
      <c r="K147" s="14">
        <v>88.904104520000004</v>
      </c>
    </row>
    <row r="148" spans="1:11" x14ac:dyDescent="0.2">
      <c r="A148" s="4" t="s">
        <v>364</v>
      </c>
      <c r="B148" s="5" t="s">
        <v>366</v>
      </c>
      <c r="C148" s="16">
        <v>873876002807</v>
      </c>
      <c r="D148" s="17">
        <v>45</v>
      </c>
      <c r="E148" s="6">
        <v>29</v>
      </c>
      <c r="F148" s="6">
        <v>48</v>
      </c>
      <c r="G148" s="18">
        <v>196</v>
      </c>
      <c r="H148" s="13">
        <v>115</v>
      </c>
      <c r="I148" s="9">
        <v>74</v>
      </c>
      <c r="J148" s="9">
        <v>122</v>
      </c>
      <c r="K148" s="14">
        <v>88.904104520000004</v>
      </c>
    </row>
    <row r="149" spans="1:11" x14ac:dyDescent="0.2">
      <c r="A149" s="4" t="s">
        <v>365</v>
      </c>
      <c r="B149" s="5" t="s">
        <v>367</v>
      </c>
      <c r="C149" s="16">
        <v>873876002887</v>
      </c>
      <c r="D149" s="17">
        <v>45</v>
      </c>
      <c r="E149" s="6">
        <v>29</v>
      </c>
      <c r="F149" s="6">
        <v>48</v>
      </c>
      <c r="G149" s="18">
        <v>196</v>
      </c>
      <c r="H149" s="13">
        <v>115</v>
      </c>
      <c r="I149" s="9">
        <v>74</v>
      </c>
      <c r="J149" s="9">
        <v>122</v>
      </c>
      <c r="K149" s="14">
        <v>88.904104520000004</v>
      </c>
    </row>
    <row r="150" spans="1:11" x14ac:dyDescent="0.2">
      <c r="A150" s="4" t="s">
        <v>92</v>
      </c>
      <c r="B150" s="5" t="s">
        <v>240</v>
      </c>
      <c r="C150" s="16" t="s">
        <v>103</v>
      </c>
      <c r="D150" s="17">
        <v>12.5</v>
      </c>
      <c r="E150" s="6">
        <v>6</v>
      </c>
      <c r="F150" s="6">
        <v>1.5</v>
      </c>
      <c r="G150" s="18">
        <v>2.7</v>
      </c>
      <c r="H150" s="13">
        <v>32</v>
      </c>
      <c r="I150" s="9">
        <v>16</v>
      </c>
      <c r="J150" s="9">
        <v>4</v>
      </c>
      <c r="K150" s="14">
        <v>1.2246993990000001</v>
      </c>
    </row>
    <row r="151" spans="1:11" x14ac:dyDescent="0.2">
      <c r="A151" s="4" t="s">
        <v>93</v>
      </c>
      <c r="B151" s="5" t="s">
        <v>191</v>
      </c>
      <c r="C151" s="16" t="s">
        <v>104</v>
      </c>
      <c r="D151" s="17">
        <v>8</v>
      </c>
      <c r="E151" s="6">
        <v>5</v>
      </c>
      <c r="F151" s="6">
        <v>2</v>
      </c>
      <c r="G151" s="18">
        <v>0.8</v>
      </c>
      <c r="H151" s="13">
        <v>21</v>
      </c>
      <c r="I151" s="9">
        <v>13</v>
      </c>
      <c r="J151" s="9">
        <v>6</v>
      </c>
      <c r="K151" s="14">
        <v>0.36287389600000003</v>
      </c>
    </row>
    <row r="152" spans="1:11" x14ac:dyDescent="0.2">
      <c r="A152" s="26"/>
      <c r="B152" s="5"/>
      <c r="C152" s="16"/>
      <c r="D152" s="17"/>
      <c r="E152" s="6"/>
      <c r="F152" s="6"/>
      <c r="G152" s="18"/>
      <c r="H152" s="13"/>
      <c r="I152" s="9"/>
      <c r="J152" s="9"/>
      <c r="K152" s="14"/>
    </row>
    <row r="153" spans="1:11" x14ac:dyDescent="0.2">
      <c r="A153" s="26" t="s">
        <v>328</v>
      </c>
      <c r="B153" s="5" t="s">
        <v>335</v>
      </c>
      <c r="C153" s="16">
        <v>873876002542</v>
      </c>
      <c r="D153" s="17">
        <v>11</v>
      </c>
      <c r="E153" s="6">
        <v>4</v>
      </c>
      <c r="F153" s="6">
        <v>0.5</v>
      </c>
      <c r="G153" s="18">
        <v>0.1</v>
      </c>
      <c r="H153" s="13">
        <f>ROUND(D153*2.54,0)</f>
        <v>28</v>
      </c>
      <c r="I153" s="9">
        <f t="shared" ref="I153:I156" si="30">ROUND(E153*2.54,0)</f>
        <v>10</v>
      </c>
      <c r="J153" s="9">
        <f t="shared" ref="J153:J156" si="31">ROUND(F153*2.54,0)</f>
        <v>1</v>
      </c>
      <c r="K153" s="14">
        <f t="shared" ref="K153:K156" si="32">G153*0.45359237</f>
        <v>4.5359237000000004E-2</v>
      </c>
    </row>
    <row r="154" spans="1:11" x14ac:dyDescent="0.2">
      <c r="A154" s="26" t="s">
        <v>324</v>
      </c>
      <c r="B154" s="5" t="s">
        <v>336</v>
      </c>
      <c r="C154" s="16">
        <v>873876002559</v>
      </c>
      <c r="D154" s="17">
        <v>11</v>
      </c>
      <c r="E154" s="6">
        <v>4</v>
      </c>
      <c r="F154" s="6">
        <v>0.5</v>
      </c>
      <c r="G154" s="18">
        <v>0.1</v>
      </c>
      <c r="H154" s="13">
        <f>ROUND(D154*2.54,0)</f>
        <v>28</v>
      </c>
      <c r="I154" s="9">
        <f t="shared" si="30"/>
        <v>10</v>
      </c>
      <c r="J154" s="9">
        <f t="shared" si="31"/>
        <v>1</v>
      </c>
      <c r="K154" s="14">
        <f t="shared" si="32"/>
        <v>4.5359237000000004E-2</v>
      </c>
    </row>
    <row r="155" spans="1:11" x14ac:dyDescent="0.2">
      <c r="A155" s="26" t="s">
        <v>325</v>
      </c>
      <c r="B155" s="5" t="s">
        <v>326</v>
      </c>
      <c r="C155" s="16">
        <v>873876002566</v>
      </c>
      <c r="D155" s="17">
        <v>11</v>
      </c>
      <c r="E155" s="6">
        <v>4</v>
      </c>
      <c r="F155" s="6">
        <v>0.5</v>
      </c>
      <c r="G155" s="18">
        <v>0.1</v>
      </c>
      <c r="H155" s="13">
        <f>ROUND(D155*2.54,0)</f>
        <v>28</v>
      </c>
      <c r="I155" s="9">
        <f t="shared" si="30"/>
        <v>10</v>
      </c>
      <c r="J155" s="9">
        <f t="shared" si="31"/>
        <v>1</v>
      </c>
      <c r="K155" s="14">
        <f t="shared" si="32"/>
        <v>4.5359237000000004E-2</v>
      </c>
    </row>
    <row r="156" spans="1:11" x14ac:dyDescent="0.2">
      <c r="A156" s="26" t="s">
        <v>327</v>
      </c>
      <c r="B156" s="5" t="s">
        <v>337</v>
      </c>
      <c r="C156" s="16">
        <v>873876002573</v>
      </c>
      <c r="D156" s="17">
        <v>11</v>
      </c>
      <c r="E156" s="6">
        <v>4</v>
      </c>
      <c r="F156" s="6">
        <v>0.5</v>
      </c>
      <c r="G156" s="18">
        <v>0.1</v>
      </c>
      <c r="H156" s="13">
        <f>ROUND(D156*2.54,0)</f>
        <v>28</v>
      </c>
      <c r="I156" s="9">
        <f t="shared" si="30"/>
        <v>10</v>
      </c>
      <c r="J156" s="9">
        <f t="shared" si="31"/>
        <v>1</v>
      </c>
      <c r="K156" s="14">
        <f t="shared" si="32"/>
        <v>4.5359237000000004E-2</v>
      </c>
    </row>
  </sheetData>
  <sortState ref="A54:K85">
    <sortCondition ref="A54:A85"/>
  </sortState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MVentura</dc:creator>
  <cp:lastModifiedBy>Mike Ventura</cp:lastModifiedBy>
  <dcterms:created xsi:type="dcterms:W3CDTF">2013-05-07T06:41:12Z</dcterms:created>
  <dcterms:modified xsi:type="dcterms:W3CDTF">2016-10-28T17:51:59Z</dcterms:modified>
</cp:coreProperties>
</file>